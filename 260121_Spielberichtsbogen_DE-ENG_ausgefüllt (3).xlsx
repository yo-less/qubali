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Allgemeines" sheetId="1" state="visible" r:id="rId2"/>
    <sheet name="Setzlisten" sheetId="2" state="visible" r:id="rId3"/>
    <sheet name="1.Begegnung" sheetId="3" state="visible" r:id="rId4"/>
    <sheet name="2.Begegnung" sheetId="4" state="visible" r:id="rId5"/>
    <sheet name="3.Begegnung" sheetId="5" state="visible" r:id="rId6"/>
    <sheet name="4.Begegnung" sheetId="6" state="visible" r:id="rId7"/>
    <sheet name="5.Begegnung" sheetId="7" state="visible" r:id="rId8"/>
    <sheet name="Vorlage" sheetId="8" state="visible" r:id="rId9"/>
  </sheets>
  <definedNames>
    <definedName name="_xlnm.Print_Area" localSheetId="0">Allgemeines!$A$1:$I$13</definedName>
    <definedName name="_xlnm.Print_Area" localSheetId="2">'1.Begegnung'!$A$1:$T$93</definedName>
    <definedName name="_xlnm.Print_Area" localSheetId="3">'2.Begegnung'!$A$1:$T$93</definedName>
    <definedName name="_xlnm.Print_Area" localSheetId="4">'3.Begegnung'!$A$1:$T$93</definedName>
    <definedName name="_xlnm.Print_Area" localSheetId="5">'4.Begegnung'!$A$1:$T$93</definedName>
    <definedName name="_xlnm.Print_Area" localSheetId="6">'5.Begegnung'!$A$1:$T$93</definedName>
    <definedName name="Austragungsort">Allgemeines!$B$2</definedName>
    <definedName name="date">Allgemeines!$B$4</definedName>
    <definedName name="Datum">Allgemeines!$B$4</definedName>
    <definedName name="Gruppe">Allgemeines!$B$1</definedName>
    <definedName name="Ort">Allgemeines!$B$3</definedName>
    <definedName name="Team1">Allgemeines!$B$7</definedName>
    <definedName name="Team2">Allgemeines!$B$8</definedName>
    <definedName name="Team3">Allgemeines!$B$9</definedName>
    <definedName name="Team4">Allgemeines!$B$10</definedName>
    <definedName name="Team5">Allgemeines!$B$11</definedName>
    <definedName name="Team6">Allgemeines!$B$12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<sst xmlns="http://schemas.openxmlformats.org/spreadsheetml/2006/main" count="168" uniqueCount="168">
  <si>
    <t>Gruppe</t>
  </si>
  <si>
    <t>II</t>
  </si>
  <si>
    <t>Gruppenkoordinator:in</t>
  </si>
  <si>
    <t>von</t>
  </si>
  <si>
    <t>bis</t>
  </si>
  <si>
    <t>Austragungsort</t>
  </si>
  <si>
    <t xml:space="preserve">Sporthalle Berlin</t>
  </si>
  <si>
    <t xml:space="preserve">George Washington</t>
  </si>
  <si>
    <t>1.Begegnung</t>
  </si>
  <si>
    <t>Ort</t>
  </si>
  <si>
    <t>Hamburg</t>
  </si>
  <si>
    <t>2.Begegnung</t>
  </si>
  <si>
    <t>Datum</t>
  </si>
  <si>
    <t>3.Begegnung</t>
  </si>
  <si>
    <t>4.Begegnung</t>
  </si>
  <si>
    <t>Teamname</t>
  </si>
  <si>
    <t>Kapitän:in</t>
  </si>
  <si>
    <t>5.Begegnung</t>
  </si>
  <si>
    <t xml:space="preserve">Team 1</t>
  </si>
  <si>
    <t>A-Team</t>
  </si>
  <si>
    <t>Adele</t>
  </si>
  <si>
    <t xml:space="preserve">Team 2</t>
  </si>
  <si>
    <t>B-Team</t>
  </si>
  <si>
    <t xml:space="preserve">Barack Obama</t>
  </si>
  <si>
    <t xml:space="preserve">Team 3</t>
  </si>
  <si>
    <t>C-Team</t>
  </si>
  <si>
    <t xml:space="preserve">Coco Chanel</t>
  </si>
  <si>
    <t xml:space="preserve">Format für die Uhrzeit:</t>
  </si>
  <si>
    <t xml:space="preserve">Team 4</t>
  </si>
  <si>
    <t>D-Team</t>
  </si>
  <si>
    <t xml:space="preserve">Diego Maradona</t>
  </si>
  <si>
    <t>##:##</t>
  </si>
  <si>
    <t xml:space="preserve">Team 5</t>
  </si>
  <si>
    <t>E-Team</t>
  </si>
  <si>
    <t xml:space="preserve">Eva Mendes</t>
  </si>
  <si>
    <t xml:space="preserve">wo # eine Zahl ist</t>
  </si>
  <si>
    <t xml:space="preserve">Team 6</t>
  </si>
  <si>
    <t>F-Team</t>
  </si>
  <si>
    <t xml:space="preserve">Freddy Mercury</t>
  </si>
  <si>
    <t xml:space="preserve">Vorname oder Alias</t>
  </si>
  <si>
    <t>Nachname</t>
  </si>
  <si>
    <t>Albert</t>
  </si>
  <si>
    <t>Einstein</t>
  </si>
  <si>
    <t>Angela</t>
  </si>
  <si>
    <t>Merkel</t>
  </si>
  <si>
    <t xml:space="preserve">Arnold Schwarzenegger</t>
  </si>
  <si>
    <t>Alexander</t>
  </si>
  <si>
    <t xml:space="preserve">Graham Bell</t>
  </si>
  <si>
    <t>Amelia</t>
  </si>
  <si>
    <t>Earhart</t>
  </si>
  <si>
    <t>Anne</t>
  </si>
  <si>
    <t>Frank</t>
  </si>
  <si>
    <t>Audrey</t>
  </si>
  <si>
    <t>Hepburn</t>
  </si>
  <si>
    <t>Barack</t>
  </si>
  <si>
    <t>Obama</t>
  </si>
  <si>
    <t>Beyoncé</t>
  </si>
  <si>
    <t xml:space="preserve">Brad Pitt</t>
  </si>
  <si>
    <t>Boris</t>
  </si>
  <si>
    <t>Becker</t>
  </si>
  <si>
    <t>Bill</t>
  </si>
  <si>
    <t>Gates</t>
  </si>
  <si>
    <t>Bob</t>
  </si>
  <si>
    <t>Marley</t>
  </si>
  <si>
    <t>Brigitte</t>
  </si>
  <si>
    <t>Bardot</t>
  </si>
  <si>
    <t>Bruce</t>
  </si>
  <si>
    <t>Willis</t>
  </si>
  <si>
    <t>Christiano</t>
  </si>
  <si>
    <t>Ronaldo</t>
  </si>
  <si>
    <t>Celine</t>
  </si>
  <si>
    <t>Dion</t>
  </si>
  <si>
    <t>Charlie</t>
  </si>
  <si>
    <t>Chaplin</t>
  </si>
  <si>
    <t>Clint</t>
  </si>
  <si>
    <t>Eastwood</t>
  </si>
  <si>
    <t>Christopher</t>
  </si>
  <si>
    <t>Nolan</t>
  </si>
  <si>
    <t>David</t>
  </si>
  <si>
    <t>Bowie</t>
  </si>
  <si>
    <t>Denzel</t>
  </si>
  <si>
    <t>Washington</t>
  </si>
  <si>
    <t>Dua</t>
  </si>
  <si>
    <t>Lipa</t>
  </si>
  <si>
    <t>Daniel</t>
  </si>
  <si>
    <t>Craig</t>
  </si>
  <si>
    <t>Dolly</t>
  </si>
  <si>
    <t>Parton</t>
  </si>
  <si>
    <t>Donald</t>
  </si>
  <si>
    <t>Glover</t>
  </si>
  <si>
    <t>Diego</t>
  </si>
  <si>
    <t>Maradona</t>
  </si>
  <si>
    <t>Elton</t>
  </si>
  <si>
    <t>John</t>
  </si>
  <si>
    <t>Emma</t>
  </si>
  <si>
    <t>Watson</t>
  </si>
  <si>
    <t>Eminem</t>
  </si>
  <si>
    <t>Elvis</t>
  </si>
  <si>
    <t>Presley</t>
  </si>
  <si>
    <t>Ed</t>
  </si>
  <si>
    <t>Sheeran</t>
  </si>
  <si>
    <t>Eddie</t>
  </si>
  <si>
    <t>Murphy</t>
  </si>
  <si>
    <t>Ennio</t>
  </si>
  <si>
    <t>Morricone</t>
  </si>
  <si>
    <t>Eva</t>
  </si>
  <si>
    <t>Mendes</t>
  </si>
  <si>
    <t>Ellen</t>
  </si>
  <si>
    <t>DeGeneres</t>
  </si>
  <si>
    <t>Freddie</t>
  </si>
  <si>
    <t>Mercury</t>
  </si>
  <si>
    <t>Frida</t>
  </si>
  <si>
    <t>Kahlo</t>
  </si>
  <si>
    <t>Sinatra</t>
  </si>
  <si>
    <t>Friedrich</t>
  </si>
  <si>
    <t>Nietzsche</t>
  </si>
  <si>
    <t>Franz</t>
  </si>
  <si>
    <t>Kafka</t>
  </si>
  <si>
    <t>Felicitas</t>
  </si>
  <si>
    <t>Woll</t>
  </si>
  <si>
    <t xml:space="preserve">Queere Badminton Liga</t>
  </si>
  <si>
    <t>Spielberichtsbogen</t>
  </si>
  <si>
    <t xml:space="preserve">Match Report Sheet</t>
  </si>
  <si>
    <t>Heimteam:</t>
  </si>
  <si>
    <t>Gruppe:</t>
  </si>
  <si>
    <t xml:space="preserve">Home team</t>
  </si>
  <si>
    <t>Group</t>
  </si>
  <si>
    <t>Gastteam:</t>
  </si>
  <si>
    <t>Austragungsort:</t>
  </si>
  <si>
    <t>Heimteam</t>
  </si>
  <si>
    <t>Gastteam</t>
  </si>
  <si>
    <r>
      <t xml:space="preserve">Text für </t>
    </r>
    <r>
      <rPr>
        <i/>
        <sz val="11"/>
        <color theme="1"/>
        <rFont val="Calibri"/>
        <scheme val="minor"/>
      </rPr>
      <t>meinspielplan.de</t>
    </r>
  </si>
  <si>
    <t xml:space="preserve">Guest team</t>
  </si>
  <si>
    <t>Venue</t>
  </si>
  <si>
    <r>
      <t xml:space="preserve">Beginn:
</t>
    </r>
    <r>
      <rPr>
        <i/>
        <sz val="10"/>
        <rFont val="Calibri"/>
        <scheme val="minor"/>
      </rPr>
      <t>(Start)</t>
    </r>
  </si>
  <si>
    <t>RL-Pos.</t>
  </si>
  <si>
    <r>
      <t xml:space="preserve">Heimteam
</t>
    </r>
    <r>
      <rPr>
        <i/>
        <sz val="10"/>
        <color theme="1"/>
        <rFont val="Calibri"/>
        <scheme val="minor"/>
      </rPr>
      <t xml:space="preserve">Home team</t>
    </r>
  </si>
  <si>
    <r>
      <t xml:space="preserve">Gastteam
</t>
    </r>
    <r>
      <rPr>
        <i/>
        <sz val="10"/>
        <color theme="1"/>
        <rFont val="Calibri"/>
        <scheme val="minor"/>
      </rPr>
      <t xml:space="preserve">Guest team</t>
    </r>
  </si>
  <si>
    <r>
      <t xml:space="preserve">1. Satz
</t>
    </r>
    <r>
      <rPr>
        <i/>
        <sz val="10"/>
        <color theme="1"/>
        <rFont val="Calibri"/>
        <scheme val="minor"/>
      </rPr>
      <t xml:space="preserve">1st Game</t>
    </r>
  </si>
  <si>
    <r>
      <t xml:space="preserve">2. Satz
</t>
    </r>
    <r>
      <rPr>
        <i/>
        <sz val="10"/>
        <color theme="1"/>
        <rFont val="Calibri"/>
        <scheme val="minor"/>
      </rPr>
      <t xml:space="preserve">2nd Game</t>
    </r>
  </si>
  <si>
    <r>
      <t xml:space="preserve">3. Satz
</t>
    </r>
    <r>
      <rPr>
        <i/>
        <sz val="10"/>
        <color theme="1"/>
        <rFont val="Calibri"/>
        <scheme val="minor"/>
      </rPr>
      <t xml:space="preserve">3rd Game</t>
    </r>
  </si>
  <si>
    <r>
      <t xml:space="preserve">Punkte </t>
    </r>
    <r>
      <rPr>
        <i/>
        <sz val="10"/>
        <color theme="1"/>
        <rFont val="Calibri"/>
        <scheme val="minor"/>
      </rPr>
      <t>(Points)</t>
    </r>
  </si>
  <si>
    <r>
      <t>Sätze</t>
    </r>
    <r>
      <rPr>
        <i/>
        <sz val="10"/>
        <color theme="1"/>
        <rFont val="Calibri"/>
        <scheme val="minor"/>
      </rPr>
      <t xml:space="preserve"> (Games)</t>
    </r>
  </si>
  <si>
    <r>
      <t xml:space="preserve">Spiele </t>
    </r>
    <r>
      <rPr>
        <i/>
        <sz val="10"/>
        <color theme="1"/>
        <rFont val="Calibri"/>
        <scheme val="minor"/>
      </rPr>
      <t>(Matches)</t>
    </r>
  </si>
  <si>
    <t xml:space="preserve">RL-Pos. Heim-team</t>
  </si>
  <si>
    <t xml:space="preserve">RL-Pos. Gast-team</t>
  </si>
  <si>
    <r>
      <t xml:space="preserve">Heim
</t>
    </r>
    <r>
      <rPr>
        <i/>
        <sz val="10"/>
        <rFont val="Calibri"/>
        <scheme val="minor"/>
      </rPr>
      <t>Home</t>
    </r>
  </si>
  <si>
    <r>
      <t xml:space="preserve">Gast
</t>
    </r>
    <r>
      <rPr>
        <i/>
        <sz val="10"/>
        <rFont val="Calibri"/>
        <scheme val="minor"/>
      </rPr>
      <t>Guest</t>
    </r>
  </si>
  <si>
    <r>
      <t xml:space="preserve">1. Doppel
</t>
    </r>
    <r>
      <rPr>
        <i/>
        <sz val="10"/>
        <color theme="1"/>
        <rFont val="Calibri"/>
        <scheme val="minor"/>
      </rPr>
      <t xml:space="preserve">1st Doubles</t>
    </r>
  </si>
  <si>
    <r>
      <t xml:space="preserve">2. Doppel
</t>
    </r>
    <r>
      <rPr>
        <i/>
        <sz val="10"/>
        <color theme="1"/>
        <rFont val="Calibri"/>
        <scheme val="minor"/>
      </rPr>
      <t xml:space="preserve">2nd Doubles</t>
    </r>
  </si>
  <si>
    <r>
      <rPr>
        <sz val="16"/>
        <color theme="0" tint="-0.499984740745262"/>
        <rFont val="Aptos Narrow"/>
      </rPr>
      <t>↑</t>
    </r>
    <r>
      <rPr>
        <sz val="16"/>
        <color theme="0" tint="-0.499984740745262"/>
        <rFont val="Calibri"/>
      </rPr>
      <t xml:space="preserve"> Zelle kopieren
</t>
    </r>
    <r>
      <rPr>
        <sz val="16"/>
        <color theme="0" tint="-0.499984740745262"/>
        <rFont val="Aptos Narrow"/>
      </rPr>
      <t>↓</t>
    </r>
    <r>
      <rPr>
        <sz val="16"/>
        <color theme="0" tint="-0.499984740745262"/>
        <rFont val="Calibri"/>
      </rPr>
      <t xml:space="preserve"> nur "Werte" unten einfügen</t>
    </r>
  </si>
  <si>
    <r>
      <t xml:space="preserve">3. Doppel
</t>
    </r>
    <r>
      <rPr>
        <i/>
        <sz val="10"/>
        <color theme="1"/>
        <rFont val="Calibri"/>
        <scheme val="minor"/>
      </rPr>
      <t xml:space="preserve">3rd Doubles</t>
    </r>
  </si>
  <si>
    <r>
      <t xml:space="preserve">1. Einzel
</t>
    </r>
    <r>
      <rPr>
        <i/>
        <sz val="10"/>
        <color theme="1"/>
        <rFont val="Calibri"/>
        <scheme val="minor"/>
      </rPr>
      <t xml:space="preserve">1st Singles</t>
    </r>
  </si>
  <si>
    <r>
      <t xml:space="preserve">2. Einzel
</t>
    </r>
    <r>
      <rPr>
        <i/>
        <sz val="10"/>
        <color theme="1"/>
        <rFont val="Calibri"/>
        <scheme val="minor"/>
      </rPr>
      <t xml:space="preserve">2nd Singles</t>
    </r>
  </si>
  <si>
    <r>
      <t xml:space="preserve">Ende </t>
    </r>
    <r>
      <rPr>
        <i/>
        <sz val="10"/>
        <rFont val="Calibri"/>
        <scheme val="minor"/>
      </rPr>
      <t>(End)</t>
    </r>
    <r>
      <rPr>
        <sz val="12"/>
        <rFont val="Calibri"/>
        <scheme val="minor"/>
      </rPr>
      <t>:</t>
    </r>
  </si>
  <si>
    <r>
      <t xml:space="preserve">Sieger:
</t>
    </r>
    <r>
      <rPr>
        <i/>
        <sz val="10"/>
        <color theme="1"/>
        <rFont val="Calibri"/>
        <scheme val="minor"/>
      </rPr>
      <t>Winner</t>
    </r>
  </si>
  <si>
    <r>
      <t xml:space="preserve">Ergebnis:
</t>
    </r>
    <r>
      <rPr>
        <i/>
        <sz val="10"/>
        <color theme="1"/>
        <rFont val="Calibri"/>
        <scheme val="minor"/>
      </rPr>
      <t>Result</t>
    </r>
  </si>
  <si>
    <r>
      <t xml:space="preserve">Besondere Vorkommnisse:
</t>
    </r>
    <r>
      <rPr>
        <i/>
        <sz val="10"/>
        <color theme="1"/>
        <rFont val="Calibri"/>
        <scheme val="minor"/>
      </rPr>
      <t xml:space="preserve">Noteworthy Events</t>
    </r>
  </si>
  <si>
    <r>
      <t xml:space="preserve">Die Richtigkeit der Angaben wird bescheinigt. Das Spiel hat unter Beachtung der Spielordnung stattgefunden.</t>
    </r>
    <r>
      <rPr>
        <i/>
        <sz val="10"/>
        <rFont val="Calibri"/>
        <scheme val="minor"/>
      </rPr>
      <t xml:space="preserve">
The accuracy of the information is certified. The match took place in accordance with the League and Match Rules. </t>
    </r>
  </si>
  <si>
    <r>
      <t xml:space="preserve">Ort </t>
    </r>
    <r>
      <rPr>
        <i/>
        <sz val="10"/>
        <rFont val="Calibri"/>
        <scheme val="minor"/>
      </rPr>
      <t>(Place)</t>
    </r>
  </si>
  <si>
    <r>
      <t xml:space="preserve">Datum </t>
    </r>
    <r>
      <rPr>
        <i/>
        <sz val="10"/>
        <rFont val="Calibri"/>
        <scheme val="minor"/>
      </rPr>
      <t>(Date)</t>
    </r>
  </si>
  <si>
    <t xml:space="preserve">Kapitän:in Heimverein</t>
  </si>
  <si>
    <t xml:space="preserve">Kapitän:in Gastverein</t>
  </si>
  <si>
    <t xml:space="preserve">Group Coordinator</t>
  </si>
  <si>
    <t xml:space="preserve">Captain Home Club</t>
  </si>
  <si>
    <t xml:space="preserve">Captain Guest Club</t>
  </si>
  <si>
    <t>Beginn: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</si>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</sst>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7">
    <font>
      <sz val="11.000000"/>
      <color theme="1"/>
      <name val="Calibri"/>
      <scheme val="minor"/>
    </font>
    <font>
      <sz val="10.000000"/>
      <color indexed="64"/>
      <name val="Times New Roman"/>
    </font>
    <font>
      <sz val="12.000000"/>
      <color indexed="64"/>
      <name val="Calibri"/>
      <scheme val="minor"/>
    </font>
    <font>
      <b/>
      <sz val="12.000000"/>
      <color indexed="64"/>
      <name val="Bradley Hand ITC"/>
    </font>
    <font>
      <sz val="12.000000"/>
      <color theme="0"/>
      <name val="Calibri"/>
      <scheme val="minor"/>
    </font>
    <font>
      <b/>
      <sz val="16.000000"/>
      <color theme="1"/>
      <name val="Calibri"/>
      <scheme val="minor"/>
    </font>
    <font>
      <b/>
      <sz val="16.000000"/>
      <color indexed="2"/>
      <name val="Calibri"/>
      <scheme val="minor"/>
    </font>
    <font>
      <b/>
      <sz val="20.000000"/>
      <name val="Calibri"/>
      <scheme val="minor"/>
    </font>
    <font>
      <b/>
      <i/>
      <sz val="16.000000"/>
      <name val="Calibri"/>
      <scheme val="minor"/>
    </font>
    <font>
      <sz val="10.000000"/>
      <name val="Calibri"/>
      <scheme val="minor"/>
    </font>
    <font>
      <sz val="16.000000"/>
      <name val="Calibri"/>
      <scheme val="minor"/>
    </font>
    <font>
      <sz val="16.000000"/>
      <color theme="1"/>
      <name val="Calibri"/>
      <scheme val="minor"/>
    </font>
    <font>
      <sz val="7.000000"/>
      <color indexed="64"/>
      <name val="Calibri"/>
      <scheme val="minor"/>
    </font>
    <font>
      <sz val="12.000000"/>
      <color theme="1"/>
      <name val="Calibri"/>
      <scheme val="minor"/>
    </font>
    <font>
      <b/>
      <sz val="16.000000"/>
      <color indexed="64"/>
      <name val="Bradley Hand ITC"/>
    </font>
    <font>
      <b/>
      <sz val="16.000000"/>
      <color theme="1"/>
      <name val="Bradley Hand ITC"/>
    </font>
    <font>
      <sz val="10.000000"/>
      <color indexed="64"/>
      <name val="Calibri"/>
      <scheme val="minor"/>
    </font>
    <font>
      <i/>
      <sz val="10.000000"/>
      <name val="Calibri"/>
      <scheme val="minor"/>
    </font>
    <font>
      <sz val="12.000000"/>
      <name val="Calibri"/>
      <scheme val="minor"/>
    </font>
    <font>
      <sz val="3.000000"/>
      <name val="Calibri"/>
      <scheme val="minor"/>
    </font>
    <font>
      <b/>
      <sz val="16.000000"/>
      <name val="Bradley Hand ITC"/>
    </font>
    <font>
      <sz val="16.000000"/>
      <color theme="0" tint="-0.499984740745262"/>
      <name val="Calibri"/>
    </font>
    <font>
      <sz val="14.000000"/>
      <name val="Calibri"/>
      <scheme val="minor"/>
    </font>
    <font>
      <b/>
      <sz val="11.000000"/>
      <color theme="1"/>
      <name val="Bradley Hand ITC"/>
    </font>
    <font>
      <sz val="7.000000"/>
      <name val="Calibri"/>
      <scheme val="minor"/>
    </font>
    <font>
      <i/>
      <sz val="10.000000"/>
      <color theme="1"/>
      <name val="Calibri"/>
      <scheme val="minor"/>
    </font>
    <font>
      <sz val="28.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22"/>
      </patternFill>
    </fill>
  </fills>
  <borders count="57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 style="none"/>
    </border>
    <border>
      <left style="thin">
        <color auto="1"/>
      </left>
      <right style="hair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none"/>
      <top style="thin">
        <color auto="1"/>
      </top>
      <bottom style="none"/>
      <diagonal style="none"/>
    </border>
    <border>
      <left style="none"/>
      <right style="double">
        <color auto="1"/>
      </right>
      <top style="thin">
        <color auto="1"/>
      </top>
      <bottom style="none"/>
      <diagonal style="none"/>
    </border>
    <border>
      <left style="double">
        <color auto="1"/>
      </left>
      <right style="hair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double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hair">
        <color auto="1"/>
      </right>
      <top style="none"/>
      <bottom style="medium">
        <color auto="1"/>
      </bottom>
      <diagonal style="none"/>
    </border>
    <border>
      <left style="hair">
        <color auto="1"/>
      </left>
      <right style="none"/>
      <top style="none"/>
      <bottom style="medium">
        <color auto="1"/>
      </bottom>
      <diagonal style="none"/>
    </border>
    <border>
      <left style="none"/>
      <right style="double">
        <color auto="1"/>
      </right>
      <top style="none"/>
      <bottom style="medium">
        <color auto="1"/>
      </bottom>
      <diagonal style="none"/>
    </border>
    <border>
      <left style="double">
        <color auto="1"/>
      </left>
      <right style="hair">
        <color auto="1"/>
      </right>
      <top style="none"/>
      <bottom style="medium">
        <color auto="1"/>
      </bottom>
      <diagonal style="none"/>
    </border>
    <border>
      <left style="hair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double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none"/>
      <right style="none"/>
      <top style="thin">
        <color auto="1"/>
      </top>
      <bottom style="hair">
        <color auto="1"/>
      </bottom>
      <diagonal style="none"/>
    </border>
    <border>
      <left style="none"/>
      <right style="double">
        <color auto="1"/>
      </right>
      <top style="thin">
        <color auto="1"/>
      </top>
      <bottom style="hair">
        <color auto="1"/>
      </bottom>
      <diagonal style="none"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hair">
        <color auto="1"/>
      </bottom>
      <diagonal style="none"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hair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none"/>
      <right style="double">
        <color auto="1"/>
      </right>
      <top style="none"/>
      <bottom style="thin">
        <color auto="1"/>
      </bottom>
      <diagonal style="none"/>
    </border>
    <border>
      <left style="double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hair">
        <color auto="1"/>
      </right>
      <top style="none"/>
      <bottom style="thin">
        <color auto="1"/>
      </bottom>
      <diagonal style="none"/>
    </border>
    <border>
      <left style="none"/>
      <right style="double">
        <color auto="1"/>
      </right>
      <top style="thin">
        <color auto="1"/>
      </top>
      <bottom style="thin">
        <color auto="1"/>
      </bottom>
      <diagonal style="none"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hair">
        <color auto="1"/>
      </right>
      <top style="thin">
        <color auto="1"/>
      </top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hair">
        <color auto="1"/>
      </right>
      <top style="none"/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272">
    <xf fontId="0" fillId="0" borderId="0" numFmtId="0" xfId="0"/>
    <xf fontId="2" fillId="0" borderId="0" numFmtId="0" xfId="1" applyFont="1" applyAlignment="1">
      <alignment horizontal="left" vertical="top"/>
    </xf>
    <xf fontId="3" fillId="2" borderId="0" numFmtId="0" xfId="1" applyFont="1" applyFill="1" applyAlignment="1" applyProtection="1">
      <alignment horizontal="left" vertical="top"/>
      <protection locked="0"/>
    </xf>
    <xf fontId="2" fillId="0" borderId="0" numFmtId="0" xfId="1" applyFont="1" applyAlignment="1">
      <alignment horizontal="center" vertical="top"/>
    </xf>
    <xf fontId="3" fillId="2" borderId="0" numFmtId="20" xfId="1" applyNumberFormat="1" applyFont="1" applyFill="1" applyAlignment="1" applyProtection="1">
      <alignment horizontal="center" vertical="top"/>
      <protection locked="0"/>
    </xf>
    <xf fontId="3" fillId="2" borderId="0" numFmtId="14" xfId="1" applyNumberFormat="1" applyFont="1" applyFill="1" applyAlignment="1" applyProtection="1">
      <alignment horizontal="left" vertical="top"/>
      <protection locked="0"/>
    </xf>
    <xf fontId="2" fillId="0" borderId="0" numFmtId="14" xfId="1" applyNumberFormat="1" applyFont="1" applyAlignment="1">
      <alignment horizontal="left" vertical="top"/>
    </xf>
    <xf fontId="4" fillId="0" borderId="0" numFmtId="0" xfId="1" applyFont="1" applyAlignment="1">
      <alignment horizontal="left" vertical="top"/>
    </xf>
    <xf fontId="0" fillId="0" borderId="0" numFmtId="0" xfId="0" applyProtection="1"/>
    <xf fontId="5" fillId="0" borderId="0" numFmtId="0" xfId="0" applyFont="1" applyProtection="1"/>
    <xf fontId="6" fillId="0" borderId="0" numFmtId="0" xfId="0" applyFont="1" applyAlignment="1" applyProtection="1">
      <alignment horizontal="left" vertical="center" wrapText="1"/>
    </xf>
    <xf fontId="0" fillId="0" borderId="0" numFmtId="0" xfId="0" applyAlignment="1" applyProtection="1">
      <alignment horizontal="center" vertical="center"/>
    </xf>
    <xf fontId="7" fillId="0" borderId="0" numFmtId="0" xfId="0" applyFont="1" applyAlignment="1" applyProtection="1">
      <alignment vertical="center"/>
    </xf>
    <xf fontId="8" fillId="0" borderId="0" numFmtId="0" xfId="0" applyFont="1" applyAlignment="1" applyProtection="1">
      <alignment vertical="top"/>
    </xf>
    <xf fontId="9" fillId="0" borderId="0" numFmtId="0" xfId="0" applyFont="1" applyAlignment="1" applyProtection="1">
      <alignment horizontal="center" vertical="center"/>
    </xf>
    <xf fontId="10" fillId="0" borderId="0" numFmtId="0" xfId="0" applyFont="1" applyAlignment="1" applyProtection="1">
      <alignment horizontal="center" vertical="center"/>
    </xf>
    <xf fontId="11" fillId="0" borderId="0" numFmtId="0" xfId="0" applyFont="1" applyProtection="1"/>
    <xf fontId="12" fillId="0" borderId="0" numFmtId="0" xfId="0" applyFont="1" applyAlignment="1" applyProtection="1">
      <alignment vertical="top" wrapText="1"/>
    </xf>
    <xf fontId="13" fillId="0" borderId="0" numFmtId="0" xfId="0" applyFont="1" applyAlignment="1" applyProtection="1">
      <alignment horizontal="right" vertical="center"/>
    </xf>
    <xf fontId="14" fillId="2" borderId="1" numFmtId="0" xfId="0" applyFont="1" applyFill="1" applyBorder="1" applyAlignment="1" applyProtection="1">
      <alignment horizontal="left" vertical="center"/>
      <protection locked="0"/>
    </xf>
    <xf fontId="0" fillId="0" borderId="0" numFmtId="0" xfId="0" applyAlignment="1" applyProtection="1">
      <alignment vertical="center"/>
    </xf>
    <xf fontId="13" fillId="0" borderId="0" numFmtId="0" xfId="0" applyFont="1" applyAlignment="1" applyProtection="1">
      <alignment vertical="center"/>
    </xf>
    <xf fontId="15" fillId="0" borderId="1" numFmtId="0" xfId="0" applyFont="1" applyBorder="1" applyProtection="1"/>
    <xf fontId="16" fillId="0" borderId="0" numFmtId="0" xfId="0" applyFont="1" applyAlignment="1" applyProtection="1">
      <alignment horizontal="center" textRotation="90" wrapText="1"/>
    </xf>
    <xf fontId="17" fillId="0" borderId="0" numFmtId="0" xfId="0" applyFont="1" applyAlignment="1" applyProtection="1">
      <alignment horizontal="right" vertical="top"/>
    </xf>
    <xf fontId="11" fillId="0" borderId="1" numFmtId="0" xfId="0" applyFont="1" applyBorder="1" applyProtection="1"/>
    <xf fontId="0" fillId="0" borderId="2" numFmtId="0" xfId="0" applyBorder="1" applyAlignment="1" applyProtection="1">
      <alignment horizontal="left" vertical="center"/>
    </xf>
    <xf fontId="0" fillId="0" borderId="3" numFmtId="0" xfId="0" applyBorder="1" applyAlignment="1" applyProtection="1">
      <alignment horizontal="center" vertical="center"/>
    </xf>
    <xf fontId="0" fillId="0" borderId="2" numFmtId="0" xfId="0" applyBorder="1" applyAlignment="1" applyProtection="1">
      <alignment horizontal="center" vertical="center"/>
    </xf>
    <xf fontId="0" fillId="0" borderId="0" numFmtId="0" xfId="0" applyAlignment="1" applyProtection="1">
      <alignment horizontal="left" vertical="center"/>
    </xf>
    <xf fontId="12" fillId="0" borderId="4" numFmtId="0" xfId="0" applyFont="1" applyBorder="1" applyAlignment="1" applyProtection="1">
      <alignment horizontal="left" vertical="top"/>
    </xf>
    <xf fontId="12" fillId="0" borderId="5" numFmtId="0" xfId="0" applyFont="1" applyBorder="1" applyAlignment="1" applyProtection="1">
      <alignment horizontal="left" vertical="top"/>
    </xf>
    <xf fontId="12" fillId="0" borderId="6" numFmtId="0" xfId="0" applyFont="1" applyBorder="1" applyAlignment="1" applyProtection="1">
      <alignment horizontal="left" vertical="top" wrapText="1"/>
      <protection locked="0"/>
    </xf>
    <xf fontId="18" fillId="0" borderId="7" numFmtId="0" xfId="0" applyFont="1" applyBorder="1" applyAlignment="1" applyProtection="1">
      <alignment horizontal="center" vertical="center" wrapText="1"/>
    </xf>
    <xf fontId="18" fillId="0" borderId="0" numFmtId="0" xfId="0" applyFont="1" applyAlignment="1" applyProtection="1">
      <alignment horizontal="center" vertical="center"/>
    </xf>
    <xf fontId="18" fillId="3" borderId="8" numFmtId="0" xfId="0" applyFont="1" applyFill="1" applyBorder="1" applyAlignment="1" applyProtection="1">
      <alignment horizontal="center" vertical="center" wrapText="1"/>
    </xf>
    <xf fontId="13" fillId="3" borderId="9" numFmtId="0" xfId="0" applyFont="1" applyFill="1" applyBorder="1" applyAlignment="1" applyProtection="1">
      <alignment horizontal="center" vertical="center" wrapText="1"/>
    </xf>
    <xf fontId="13" fillId="3" borderId="10" numFmtId="0" xfId="0" applyFont="1" applyFill="1" applyBorder="1" applyAlignment="1" applyProtection="1">
      <alignment horizontal="center" vertical="center"/>
    </xf>
    <xf fontId="18" fillId="3" borderId="11" numFmtId="0" xfId="0" applyFont="1" applyFill="1" applyBorder="1" applyAlignment="1" applyProtection="1">
      <alignment horizontal="center" vertical="center" wrapText="1"/>
    </xf>
    <xf fontId="13" fillId="3" borderId="12" numFmtId="0" xfId="0" applyFont="1" applyFill="1" applyBorder="1" applyAlignment="1" applyProtection="1">
      <alignment horizontal="center" vertical="center" wrapText="1"/>
    </xf>
    <xf fontId="13" fillId="0" borderId="0" numFmtId="0" xfId="0" applyFont="1" applyAlignment="1" applyProtection="1">
      <alignment horizontal="center" vertical="center"/>
    </xf>
    <xf fontId="13" fillId="3" borderId="13" numFmtId="0" xfId="0" applyFont="1" applyFill="1" applyBorder="1" applyAlignment="1" applyProtection="1">
      <alignment horizontal="center" vertical="center" wrapText="1"/>
    </xf>
    <xf fontId="13" fillId="3" borderId="14" numFmtId="0" xfId="0" applyFont="1" applyFill="1" applyBorder="1" applyAlignment="1" applyProtection="1">
      <alignment horizontal="center" vertical="center"/>
    </xf>
    <xf fontId="13" fillId="3" borderId="15" numFmtId="0" xfId="0" applyFont="1" applyFill="1" applyBorder="1" applyAlignment="1" applyProtection="1">
      <alignment horizontal="center" vertical="center" wrapText="1"/>
    </xf>
    <xf fontId="13" fillId="3" borderId="16" numFmtId="0" xfId="0" applyFont="1" applyFill="1" applyBorder="1" applyAlignment="1" applyProtection="1">
      <alignment horizontal="center" vertical="center"/>
    </xf>
    <xf fontId="13" fillId="3" borderId="17" numFmtId="0" xfId="0" applyFont="1" applyFill="1" applyBorder="1" applyAlignment="1" applyProtection="1">
      <alignment horizontal="center"/>
    </xf>
    <xf fontId="13" fillId="3" borderId="16" numFmtId="0" xfId="0" applyFont="1" applyFill="1" applyBorder="1" applyAlignment="1" applyProtection="1">
      <alignment horizontal="center"/>
    </xf>
    <xf fontId="13" fillId="3" borderId="15" numFmtId="0" xfId="0" applyFont="1" applyFill="1" applyBorder="1" applyAlignment="1" applyProtection="1">
      <alignment horizontal="center"/>
    </xf>
    <xf fontId="13" fillId="3" borderId="18" numFmtId="0" xfId="0" applyFont="1" applyFill="1" applyBorder="1" applyAlignment="1" applyProtection="1">
      <alignment horizontal="center"/>
    </xf>
    <xf fontId="13" fillId="3" borderId="19" numFmtId="0" xfId="0" applyFont="1" applyFill="1" applyBorder="1" applyAlignment="1" applyProtection="1">
      <alignment horizontal="center"/>
    </xf>
    <xf fontId="13" fillId="3" borderId="20" numFmtId="0" xfId="0" applyFont="1" applyFill="1" applyBorder="1" applyAlignment="1" applyProtection="1">
      <alignment horizontal="center"/>
    </xf>
    <xf fontId="2" fillId="0" borderId="13" numFmtId="0" xfId="0" applyFont="1" applyBorder="1" applyAlignment="1" applyProtection="1">
      <alignment horizontal="center" wrapText="1"/>
    </xf>
    <xf fontId="2" fillId="0" borderId="14" numFmtId="0" xfId="0" applyFont="1" applyBorder="1" applyAlignment="1" applyProtection="1">
      <alignment horizontal="center" wrapText="1"/>
    </xf>
    <xf fontId="15" fillId="2" borderId="21" numFmtId="20" xfId="0" applyNumberFormat="1" applyFont="1" applyFill="1" applyBorder="1" applyAlignment="1" applyProtection="1">
      <alignment horizontal="center" vertical="center"/>
      <protection locked="0"/>
    </xf>
    <xf fontId="18" fillId="3" borderId="22" numFmtId="0" xfId="0" applyFont="1" applyFill="1" applyBorder="1" applyAlignment="1" applyProtection="1">
      <alignment horizontal="center" vertical="center"/>
    </xf>
    <xf fontId="13" fillId="3" borderId="23" numFmtId="0" xfId="0" applyFont="1" applyFill="1" applyBorder="1" applyAlignment="1" applyProtection="1">
      <alignment horizontal="center" vertical="center"/>
    </xf>
    <xf fontId="13" fillId="3" borderId="24" numFmtId="0" xfId="0" applyFont="1" applyFill="1" applyBorder="1" applyAlignment="1" applyProtection="1">
      <alignment horizontal="center" vertical="center"/>
    </xf>
    <xf fontId="18" fillId="3" borderId="25" numFmtId="0" xfId="0" applyFont="1" applyFill="1" applyBorder="1" applyAlignment="1" applyProtection="1">
      <alignment horizontal="center" vertical="center"/>
    </xf>
    <xf fontId="13" fillId="3" borderId="26" numFmtId="0" xfId="0" applyFont="1" applyFill="1" applyBorder="1" applyAlignment="1" applyProtection="1">
      <alignment horizontal="center" vertical="center"/>
    </xf>
    <xf fontId="13" fillId="3" borderId="27" numFmtId="0" xfId="0" applyFont="1" applyFill="1" applyBorder="1" applyAlignment="1" applyProtection="1">
      <alignment horizontal="center" vertical="center"/>
    </xf>
    <xf fontId="13" fillId="3" borderId="28" numFmtId="0" xfId="0" applyFont="1" applyFill="1" applyBorder="1" applyAlignment="1" applyProtection="1">
      <alignment horizontal="center" vertical="center"/>
    </xf>
    <xf fontId="13" fillId="3" borderId="21" numFmtId="0" xfId="0" applyFont="1" applyFill="1" applyBorder="1" applyAlignment="1" applyProtection="1">
      <alignment horizontal="center" vertical="center"/>
    </xf>
    <xf fontId="13" fillId="3" borderId="29" numFmtId="0" xfId="0" applyFont="1" applyFill="1" applyBorder="1" applyAlignment="1" applyProtection="1">
      <alignment horizontal="center" vertical="center"/>
    </xf>
    <xf fontId="18" fillId="3" borderId="30" numFmtId="0" xfId="0" applyFont="1" applyFill="1" applyBorder="1" applyAlignment="1" applyProtection="1">
      <alignment horizontal="center" vertical="center" wrapText="1"/>
    </xf>
    <xf fontId="18" fillId="3" borderId="31" numFmtId="0" xfId="0" applyFont="1" applyFill="1" applyBorder="1" applyAlignment="1" applyProtection="1">
      <alignment horizontal="center" vertical="center" wrapText="1"/>
    </xf>
    <xf fontId="18" fillId="3" borderId="27" numFmtId="0" xfId="0" applyFont="1" applyFill="1" applyBorder="1" applyAlignment="1" applyProtection="1">
      <alignment horizontal="center" vertical="center" wrapText="1"/>
    </xf>
    <xf fontId="18" fillId="3" borderId="28" numFmtId="0" xfId="0" applyFont="1" applyFill="1" applyBorder="1" applyAlignment="1" applyProtection="1">
      <alignment horizontal="center" vertical="center" wrapText="1"/>
    </xf>
    <xf fontId="18" fillId="3" borderId="32" numFmtId="0" xfId="0" applyFont="1" applyFill="1" applyBorder="1" applyAlignment="1" applyProtection="1">
      <alignment horizontal="center" vertical="center" wrapText="1"/>
    </xf>
    <xf fontId="2" fillId="0" borderId="33" numFmtId="0" xfId="0" applyFont="1" applyBorder="1" applyAlignment="1" applyProtection="1">
      <alignment horizontal="center" wrapText="1"/>
    </xf>
    <xf fontId="2" fillId="0" borderId="34" numFmtId="0" xfId="0" applyFont="1" applyBorder="1" applyAlignment="1" applyProtection="1">
      <alignment horizontal="center" wrapText="1"/>
    </xf>
    <xf fontId="19" fillId="0" borderId="0" numFmtId="0" xfId="0" applyFont="1" applyAlignment="1" applyProtection="1">
      <alignment horizontal="center" vertical="center"/>
    </xf>
    <xf fontId="13" fillId="3" borderId="35" numFmtId="0" xfId="0" applyFont="1" applyFill="1" applyBorder="1" applyAlignment="1" applyProtection="1">
      <alignment horizontal="right" vertical="center" wrapText="1"/>
    </xf>
    <xf fontId="15" fillId="0" borderId="36" numFmtId="0" xfId="0" applyFont="1" applyBorder="1" applyAlignment="1" applyProtection="1">
      <alignment horizontal="center" vertical="center"/>
    </xf>
    <xf fontId="15" fillId="2" borderId="37" numFmtId="0" xfId="0" applyFont="1" applyFill="1" applyBorder="1" applyAlignment="1" applyProtection="1">
      <alignment horizontal="left" vertical="center"/>
      <protection locked="0"/>
    </xf>
    <xf fontId="15" fillId="2" borderId="38" numFmtId="0" xfId="0" applyFont="1" applyFill="1" applyBorder="1" applyAlignment="1" applyProtection="1">
      <alignment horizontal="left" vertical="center"/>
      <protection locked="0"/>
    </xf>
    <xf fontId="15" fillId="0" borderId="39" numFmtId="0" xfId="0" applyFont="1" applyBorder="1" applyAlignment="1" applyProtection="1">
      <alignment horizontal="center" vertical="center"/>
    </xf>
    <xf fontId="15" fillId="2" borderId="40" numFmtId="0" xfId="0" applyFont="1" applyFill="1" applyBorder="1" applyAlignment="1" applyProtection="1">
      <alignment horizontal="left" vertical="center"/>
      <protection locked="0"/>
    </xf>
    <xf fontId="15" fillId="2" borderId="41" numFmtId="0" xfId="0" applyFont="1" applyFill="1" applyBorder="1" applyAlignment="1" applyProtection="1">
      <alignment horizontal="center" vertical="center"/>
      <protection locked="0"/>
    </xf>
    <xf fontId="15" fillId="2" borderId="3" numFmtId="0" xfId="0" applyFont="1" applyFill="1" applyBorder="1" applyAlignment="1" applyProtection="1">
      <alignment horizontal="center" vertical="center"/>
      <protection locked="0"/>
    </xf>
    <xf fontId="15" fillId="2" borderId="42" numFmtId="0" xfId="0" applyFont="1" applyFill="1" applyBorder="1" applyAlignment="1" applyProtection="1">
      <alignment horizontal="center" vertical="center"/>
      <protection locked="0"/>
    </xf>
    <xf fontId="15" fillId="0" borderId="11" numFmtId="0" xfId="0" applyFont="1" applyBorder="1" applyAlignment="1" applyProtection="1">
      <alignment horizontal="center" vertical="center"/>
    </xf>
    <xf fontId="15" fillId="0" borderId="43" numFmtId="0" xfId="0" applyFont="1" applyBorder="1" applyAlignment="1" applyProtection="1">
      <alignment horizontal="center" vertical="center"/>
    </xf>
    <xf fontId="15" fillId="0" borderId="8" numFmtId="0" xfId="0" applyFont="1" applyBorder="1" applyAlignment="1" applyProtection="1">
      <alignment horizontal="center" vertical="center"/>
    </xf>
    <xf fontId="15" fillId="0" borderId="14" numFmtId="0" xfId="0" applyFont="1" applyBorder="1" applyAlignment="1" applyProtection="1">
      <alignment horizontal="center" vertical="center"/>
    </xf>
    <xf fontId="15" fillId="0" borderId="44" numFmtId="0" xfId="0" applyFont="1" applyBorder="1" applyAlignment="1" applyProtection="1">
      <alignment horizontal="center" vertical="center"/>
    </xf>
    <xf fontId="15" fillId="0" borderId="19" numFmtId="0" xfId="0" applyFont="1" applyBorder="1" applyAlignment="1" applyProtection="1">
      <alignment horizontal="center" vertical="center"/>
    </xf>
    <xf fontId="2" fillId="0" borderId="13" numFmtId="0" xfId="0" applyFont="1" applyBorder="1" applyAlignment="1" applyProtection="1">
      <alignment horizontal="center" vertical="center"/>
    </xf>
    <xf fontId="2" fillId="0" borderId="14" numFmtId="0" xfId="0" applyFont="1" applyBorder="1" applyAlignment="1" applyProtection="1">
      <alignment horizontal="center" vertical="center"/>
    </xf>
    <xf fontId="13" fillId="3" borderId="35" numFmtId="0" xfId="0" applyFont="1" applyFill="1" applyBorder="1" applyAlignment="1" applyProtection="1">
      <alignment horizontal="right" vertical="center"/>
    </xf>
    <xf fontId="15" fillId="0" borderId="45" numFmtId="0" xfId="0" applyFont="1" applyBorder="1" applyAlignment="1" applyProtection="1">
      <alignment horizontal="center" vertical="center"/>
    </xf>
    <xf fontId="15" fillId="2" borderId="1" numFmtId="0" xfId="0" applyFont="1" applyFill="1" applyBorder="1" applyAlignment="1" applyProtection="1">
      <alignment horizontal="left" vertical="center"/>
      <protection locked="0"/>
    </xf>
    <xf fontId="15" fillId="2" borderId="46" numFmtId="0" xfId="0" applyFont="1" applyFill="1" applyBorder="1" applyAlignment="1" applyProtection="1">
      <alignment horizontal="left" vertical="center"/>
      <protection locked="0"/>
    </xf>
    <xf fontId="15" fillId="0" borderId="47" numFmtId="0" xfId="0" applyFont="1" applyBorder="1" applyAlignment="1" applyProtection="1">
      <alignment horizontal="center" vertical="center"/>
    </xf>
    <xf fontId="15" fillId="2" borderId="48" numFmtId="0" xfId="0" applyFont="1" applyFill="1" applyBorder="1" applyAlignment="1" applyProtection="1">
      <alignment horizontal="left" vertical="center"/>
      <protection locked="0"/>
    </xf>
    <xf fontId="15" fillId="0" borderId="1" numFmtId="0" xfId="0" applyFont="1" applyBorder="1" applyAlignment="1" applyProtection="1">
      <alignment horizontal="center" vertical="center"/>
    </xf>
    <xf fontId="15" fillId="0" borderId="34" numFmtId="0" xfId="0" applyFont="1" applyBorder="1" applyAlignment="1" applyProtection="1">
      <alignment horizontal="center" vertical="center"/>
    </xf>
    <xf fontId="15" fillId="0" borderId="49" numFmtId="0" xfId="0" applyFont="1" applyBorder="1" applyAlignment="1" applyProtection="1">
      <alignment horizontal="center" vertical="center"/>
    </xf>
    <xf fontId="15" fillId="0" borderId="48" numFmtId="0" xfId="0" applyFont="1" applyBorder="1" applyAlignment="1" applyProtection="1">
      <alignment horizontal="center" vertical="center"/>
    </xf>
    <xf fontId="2" fillId="0" borderId="4" numFmtId="0" xfId="0" applyFont="1" applyBorder="1" applyAlignment="1" applyProtection="1">
      <alignment horizontal="center" vertical="center"/>
    </xf>
    <xf fontId="2" fillId="0" borderId="5" numFmtId="0" xfId="0" applyFont="1" applyBorder="1" applyAlignment="1" applyProtection="1">
      <alignment horizontal="center" vertical="center"/>
    </xf>
    <xf fontId="20" fillId="2" borderId="3" numFmtId="0" xfId="0" applyFont="1" applyFill="1" applyBorder="1" applyAlignment="1" applyProtection="1">
      <alignment horizontal="center" vertical="center"/>
      <protection locked="0"/>
    </xf>
    <xf fontId="21" fillId="0" borderId="42" numFmtId="0" xfId="0" applyFont="1" applyBorder="1" applyAlignment="1" applyProtection="1">
      <alignment horizontal="left" vertical="center" wrapText="1"/>
    </xf>
    <xf fontId="2" fillId="0" borderId="33" numFmtId="0" xfId="0" applyFont="1" applyBorder="1" applyAlignment="1" applyProtection="1">
      <alignment horizontal="center" vertical="center"/>
    </xf>
    <xf fontId="2" fillId="0" borderId="34" numFmtId="0" xfId="0" applyFont="1" applyBorder="1" applyAlignment="1" applyProtection="1">
      <alignment horizontal="center" vertical="center"/>
    </xf>
    <xf fontId="22" fillId="0" borderId="0" numFmtId="0" xfId="0" applyFont="1" applyAlignment="1" applyProtection="1">
      <alignment horizontal="center" vertical="center"/>
    </xf>
    <xf fontId="15" fillId="0" borderId="41" numFmtId="0" xfId="0" applyFont="1" applyBorder="1" applyAlignment="1" applyProtection="1">
      <alignment horizontal="center" vertical="center"/>
    </xf>
    <xf fontId="15" fillId="2" borderId="42" numFmtId="0" xfId="0" applyFont="1" applyFill="1" applyBorder="1" applyAlignment="1" applyProtection="1">
      <alignment horizontal="left" vertical="center"/>
      <protection locked="0"/>
    </xf>
    <xf fontId="15" fillId="2" borderId="50" numFmtId="0" xfId="0" applyFont="1" applyFill="1" applyBorder="1" applyAlignment="1" applyProtection="1">
      <alignment horizontal="left" vertical="center"/>
      <protection locked="0"/>
    </xf>
    <xf fontId="15" fillId="0" borderId="51" numFmtId="0" xfId="0" applyFont="1" applyBorder="1" applyAlignment="1" applyProtection="1">
      <alignment horizontal="center" vertical="center"/>
    </xf>
    <xf fontId="15" fillId="2" borderId="52" numFmtId="0" xfId="0" applyFont="1" applyFill="1" applyBorder="1" applyAlignment="1" applyProtection="1">
      <alignment horizontal="left" vertical="center"/>
      <protection locked="0"/>
    </xf>
    <xf fontId="15" fillId="0" borderId="42" numFmtId="0" xfId="0" applyFont="1" applyBorder="1" applyAlignment="1" applyProtection="1">
      <alignment horizontal="center" vertical="center"/>
    </xf>
    <xf fontId="15" fillId="0" borderId="3" numFmtId="0" xfId="0" applyFont="1" applyBorder="1" applyAlignment="1" applyProtection="1">
      <alignment horizontal="center" vertical="center"/>
    </xf>
    <xf fontId="15" fillId="0" borderId="53" numFmtId="0" xfId="0" applyFont="1" applyBorder="1" applyAlignment="1" applyProtection="1">
      <alignment horizontal="center" vertical="center"/>
    </xf>
    <xf fontId="15" fillId="0" borderId="52" numFmtId="0" xfId="0" applyFont="1" applyBorder="1" applyAlignment="1" applyProtection="1">
      <alignment horizontal="center" vertical="center"/>
    </xf>
    <xf fontId="18" fillId="0" borderId="7" numFmtId="0" xfId="0" applyFont="1" applyBorder="1" applyAlignment="1" applyProtection="1">
      <alignment horizontal="center" vertical="center"/>
    </xf>
    <xf fontId="13" fillId="3" borderId="13" numFmtId="0" xfId="0" applyFont="1" applyFill="1" applyBorder="1" applyAlignment="1" applyProtection="1">
      <alignment horizontal="right" vertical="center" wrapText="1"/>
    </xf>
    <xf fontId="13" fillId="3" borderId="14" numFmtId="0" xfId="0" applyFont="1" applyFill="1" applyBorder="1" applyAlignment="1" applyProtection="1">
      <alignment horizontal="right" vertical="center"/>
    </xf>
    <xf fontId="15" fillId="0" borderId="13" numFmtId="0" xfId="0" applyFont="1" applyBorder="1" applyAlignment="1" applyProtection="1">
      <alignment horizontal="left" vertical="center"/>
    </xf>
    <xf fontId="15" fillId="0" borderId="43" numFmtId="0" xfId="0" applyFont="1" applyBorder="1" applyAlignment="1" applyProtection="1">
      <alignment horizontal="left" vertical="center"/>
    </xf>
    <xf fontId="15" fillId="0" borderId="19" numFmtId="0" xfId="0" applyFont="1" applyBorder="1" applyAlignment="1" applyProtection="1">
      <alignment horizontal="left" vertical="center"/>
    </xf>
    <xf fontId="13" fillId="3" borderId="43" numFmtId="0" xfId="0" applyFont="1" applyFill="1" applyBorder="1" applyAlignment="1" applyProtection="1">
      <alignment horizontal="right" vertical="center"/>
    </xf>
    <xf fontId="15" fillId="0" borderId="54" numFmtId="0" xfId="0" applyFont="1" applyBorder="1" applyAlignment="1" applyProtection="1">
      <alignment horizontal="center" vertical="center"/>
    </xf>
    <xf fontId="15" fillId="0" borderId="12" numFmtId="0" xfId="0" applyFont="1" applyBorder="1" applyAlignment="1" applyProtection="1">
      <alignment horizontal="center" vertical="center"/>
    </xf>
    <xf fontId="13" fillId="3" borderId="27" numFmtId="0" xfId="0" applyFont="1" applyFill="1" applyBorder="1" applyAlignment="1" applyProtection="1">
      <alignment horizontal="right" vertical="center"/>
    </xf>
    <xf fontId="13" fillId="3" borderId="28" numFmtId="0" xfId="0" applyFont="1" applyFill="1" applyBorder="1" applyAlignment="1" applyProtection="1">
      <alignment horizontal="right" vertical="center"/>
    </xf>
    <xf fontId="15" fillId="0" borderId="27" numFmtId="0" xfId="0" applyFont="1" applyBorder="1" applyAlignment="1" applyProtection="1">
      <alignment horizontal="left" vertical="center"/>
    </xf>
    <xf fontId="15" fillId="0" borderId="31" numFmtId="0" xfId="0" applyFont="1" applyBorder="1" applyAlignment="1" applyProtection="1">
      <alignment horizontal="left" vertical="center"/>
    </xf>
    <xf fontId="15" fillId="0" borderId="32" numFmtId="0" xfId="0" applyFont="1" applyBorder="1" applyAlignment="1" applyProtection="1">
      <alignment horizontal="left" vertical="center"/>
    </xf>
    <xf fontId="13" fillId="3" borderId="31" numFmtId="0" xfId="0" applyFont="1" applyFill="1" applyBorder="1" applyAlignment="1" applyProtection="1">
      <alignment horizontal="right" vertical="center"/>
    </xf>
    <xf fontId="15" fillId="0" borderId="22" numFmtId="0" xfId="0" applyFont="1" applyBorder="1" applyAlignment="1" applyProtection="1">
      <alignment horizontal="center" vertical="center"/>
    </xf>
    <xf fontId="15" fillId="0" borderId="55" numFmtId="0" xfId="0" applyFont="1" applyBorder="1" applyAlignment="1" applyProtection="1">
      <alignment horizontal="center" vertical="center"/>
    </xf>
    <xf fontId="15" fillId="0" borderId="26" numFmtId="0" xfId="0" applyFont="1" applyBorder="1" applyAlignment="1" applyProtection="1">
      <alignment horizontal="center" vertical="center"/>
    </xf>
    <xf fontId="12" fillId="0" borderId="33" numFmtId="0" xfId="0" applyFont="1" applyBorder="1" applyAlignment="1" applyProtection="1">
      <alignment horizontal="left" vertical="top"/>
    </xf>
    <xf fontId="12" fillId="0" borderId="34" numFmtId="0" xfId="0" applyFont="1" applyBorder="1" applyAlignment="1" applyProtection="1">
      <alignment horizontal="left" vertical="top"/>
    </xf>
    <xf fontId="13" fillId="0" borderId="0" numFmtId="0" xfId="0" applyFont="1" applyAlignment="1" applyProtection="1">
      <alignment horizontal="right" wrapText="1"/>
    </xf>
    <xf fontId="23" fillId="2" borderId="1" numFmtId="0" xfId="0" applyFont="1" applyFill="1" applyBorder="1" applyAlignment="1" applyProtection="1">
      <alignment horizontal="left" vertical="center" wrapText="1"/>
      <protection locked="0"/>
    </xf>
    <xf fontId="24" fillId="0" borderId="0" numFmtId="0" xfId="0" applyFont="1" applyAlignment="1" applyProtection="1">
      <alignment horizontal="left" vertical="top"/>
    </xf>
    <xf fontId="18" fillId="3" borderId="0" numFmtId="0" xfId="0" applyFont="1" applyFill="1" applyAlignment="1" applyProtection="1">
      <alignment horizontal="center" vertical="center" wrapText="1"/>
    </xf>
    <xf fontId="18" fillId="3" borderId="0" numFmtId="0" xfId="0" applyFont="1" applyFill="1" applyAlignment="1" applyProtection="1">
      <alignment horizontal="center" vertical="center"/>
    </xf>
    <xf fontId="20" fillId="0" borderId="0" numFmtId="0" xfId="0" applyFont="1" applyAlignment="1" applyProtection="1">
      <alignment horizontal="center"/>
    </xf>
    <xf fontId="15" fillId="0" borderId="0" numFmtId="14" xfId="0" applyNumberFormat="1" applyFont="1" applyAlignment="1" applyProtection="1">
      <alignment horizontal="center"/>
    </xf>
    <xf fontId="0" fillId="0" borderId="0" numFmtId="0" xfId="0" applyAlignment="1" applyProtection="1">
      <alignment horizontal="center"/>
    </xf>
    <xf fontId="20" fillId="0" borderId="1" numFmtId="0" xfId="0" applyFont="1" applyBorder="1" applyAlignment="1" applyProtection="1">
      <alignment horizontal="center"/>
    </xf>
    <xf fontId="15" fillId="0" borderId="1" numFmtId="0" xfId="0" applyFont="1" applyBorder="1" applyAlignment="1" applyProtection="1">
      <alignment horizontal="center"/>
    </xf>
    <xf fontId="0" fillId="0" borderId="1" numFmtId="0" xfId="0" applyBorder="1" applyAlignment="1" applyProtection="1">
      <alignment horizontal="center"/>
    </xf>
    <xf fontId="18" fillId="0" borderId="0" numFmtId="0" xfId="0" applyFont="1" applyAlignment="1" applyProtection="1">
      <alignment horizontal="center" vertical="top"/>
    </xf>
    <xf fontId="18" fillId="0" borderId="43" numFmtId="0" xfId="0" applyFont="1" applyBorder="1" applyAlignment="1" applyProtection="1">
      <alignment horizontal="center" vertical="top"/>
    </xf>
    <xf fontId="25" fillId="0" borderId="0" numFmtId="0" xfId="0" applyFont="1" applyAlignment="1" applyProtection="1">
      <alignment horizontal="center" vertical="top"/>
    </xf>
    <xf fontId="23" fillId="0" borderId="0" numFmtId="0" xfId="0" applyFont="1" applyAlignment="1" applyProtection="1">
      <alignment horizontal="center" vertical="center"/>
    </xf>
    <xf fontId="15" fillId="0" borderId="51" numFmtId="0" xfId="0" applyFont="1" applyBorder="1" applyAlignment="1" applyProtection="1">
      <alignment vertical="center"/>
    </xf>
    <xf fontId="15" fillId="0" borderId="42" numFmtId="0" xfId="0" applyFont="1" applyBorder="1" applyAlignment="1" applyProtection="1">
      <alignment vertical="center"/>
    </xf>
    <xf fontId="15" fillId="0" borderId="41" numFmtId="0" xfId="0" applyFont="1" applyBorder="1" applyAlignment="1" applyProtection="1">
      <alignment vertical="center"/>
    </xf>
    <xf fontId="15" fillId="0" borderId="3" numFmtId="0" xfId="0" applyFont="1" applyBorder="1" applyAlignment="1" applyProtection="1">
      <alignment vertical="center"/>
    </xf>
    <xf fontId="15" fillId="0" borderId="53" numFmtId="0" xfId="0" applyFont="1" applyBorder="1" applyAlignment="1" applyProtection="1">
      <alignment vertical="center"/>
    </xf>
    <xf fontId="15" fillId="0" borderId="52" numFmtId="0" xfId="0" applyFont="1" applyBorder="1" applyAlignment="1" applyProtection="1">
      <alignment vertical="center"/>
    </xf>
    <xf fontId="5" fillId="0" borderId="0" numFmtId="0" xfId="0" applyFont="1"/>
    <xf fontId="0" fillId="0" borderId="0" numFmtId="0" xfId="0" applyAlignment="1">
      <alignment horizontal="center" vertical="center"/>
    </xf>
    <xf fontId="7" fillId="0" borderId="0" numFmtId="0" xfId="0" applyFont="1" applyAlignment="1">
      <alignment vertical="center"/>
    </xf>
    <xf fontId="8" fillId="0" borderId="0" numFmtId="0" xfId="0" applyFont="1" applyAlignment="1">
      <alignment vertical="top"/>
    </xf>
    <xf fontId="9" fillId="0" borderId="0" numFmtId="0" xfId="0" applyFont="1" applyAlignment="1">
      <alignment horizontal="center" vertical="center"/>
    </xf>
    <xf fontId="10" fillId="0" borderId="0" numFmtId="0" xfId="0" applyFont="1" applyAlignment="1">
      <alignment horizontal="center" vertical="center"/>
    </xf>
    <xf fontId="13" fillId="0" borderId="0" numFmtId="0" xfId="0" applyFont="1" applyAlignment="1">
      <alignment horizontal="right" vertical="center"/>
    </xf>
    <xf fontId="0" fillId="0" borderId="1" numFmtId="0" xfId="0" applyBorder="1" applyAlignment="1" applyProtection="1">
      <alignment horizontal="left" vertical="center"/>
      <protection locked="0"/>
    </xf>
    <xf fontId="0" fillId="0" borderId="0" numFmtId="0" xfId="0" applyAlignment="1">
      <alignment vertical="center"/>
    </xf>
    <xf fontId="13" fillId="0" borderId="0" numFmtId="0" xfId="0" applyFont="1" applyAlignment="1">
      <alignment vertical="center"/>
    </xf>
    <xf fontId="0" fillId="0" borderId="1" numFmtId="0" xfId="0" applyBorder="1" applyAlignment="1" applyProtection="1">
      <alignment vertical="center"/>
      <protection locked="0"/>
    </xf>
    <xf fontId="0" fillId="0" borderId="0" numFmtId="0" xfId="0" applyAlignment="1" applyProtection="1">
      <alignment vertical="center"/>
      <protection locked="0"/>
    </xf>
    <xf fontId="17" fillId="0" borderId="0" numFmtId="0" xfId="0" applyFont="1" applyAlignment="1">
      <alignment horizontal="right" vertical="top"/>
    </xf>
    <xf fontId="18" fillId="0" borderId="7" numFmtId="0" xfId="0" applyFont="1" applyBorder="1" applyAlignment="1">
      <alignment horizontal="center" vertical="top"/>
    </xf>
    <xf fontId="18" fillId="0" borderId="0" numFmtId="0" xfId="0" applyFont="1" applyAlignment="1">
      <alignment horizontal="center" vertical="center"/>
    </xf>
    <xf fontId="18" fillId="3" borderId="8" numFmtId="0" xfId="0" applyFont="1" applyFill="1" applyBorder="1" applyAlignment="1">
      <alignment horizontal="center" vertical="center" wrapText="1"/>
    </xf>
    <xf fontId="13" fillId="3" borderId="9" numFmtId="0" xfId="0" applyFont="1" applyFill="1" applyBorder="1" applyAlignment="1">
      <alignment horizontal="center" vertical="center" wrapText="1"/>
    </xf>
    <xf fontId="13" fillId="3" borderId="10" numFmtId="0" xfId="0" applyFont="1" applyFill="1" applyBorder="1" applyAlignment="1">
      <alignment horizontal="center" vertical="center"/>
    </xf>
    <xf fontId="18" fillId="3" borderId="11" numFmtId="0" xfId="0" applyFont="1" applyFill="1" applyBorder="1" applyAlignment="1">
      <alignment horizontal="center" vertical="center" wrapText="1"/>
    </xf>
    <xf fontId="13" fillId="3" borderId="12" numFmtId="0" xfId="0" applyFont="1" applyFill="1" applyBorder="1" applyAlignment="1">
      <alignment horizontal="center" vertical="center" wrapText="1"/>
    </xf>
    <xf fontId="13" fillId="0" borderId="0" numFmtId="0" xfId="0" applyFont="1" applyAlignment="1">
      <alignment horizontal="center" vertical="center"/>
    </xf>
    <xf fontId="13" fillId="3" borderId="13" numFmtId="0" xfId="0" applyFont="1" applyFill="1" applyBorder="1" applyAlignment="1">
      <alignment horizontal="center" vertical="center" wrapText="1"/>
    </xf>
    <xf fontId="13" fillId="3" borderId="14" numFmtId="0" xfId="0" applyFont="1" applyFill="1" applyBorder="1" applyAlignment="1">
      <alignment horizontal="center" vertical="center"/>
    </xf>
    <xf fontId="13" fillId="3" borderId="15" numFmtId="0" xfId="0" applyFont="1" applyFill="1" applyBorder="1" applyAlignment="1">
      <alignment horizontal="center" vertical="center" wrapText="1"/>
    </xf>
    <xf fontId="13" fillId="3" borderId="16" numFmtId="0" xfId="0" applyFont="1" applyFill="1" applyBorder="1" applyAlignment="1">
      <alignment horizontal="center" vertical="center"/>
    </xf>
    <xf fontId="13" fillId="3" borderId="17" numFmtId="0" xfId="0" applyFont="1" applyFill="1" applyBorder="1" applyAlignment="1">
      <alignment horizontal="center"/>
    </xf>
    <xf fontId="13" fillId="3" borderId="16" numFmtId="0" xfId="0" applyFont="1" applyFill="1" applyBorder="1" applyAlignment="1">
      <alignment horizontal="center"/>
    </xf>
    <xf fontId="13" fillId="3" borderId="15" numFmtId="0" xfId="0" applyFont="1" applyFill="1" applyBorder="1" applyAlignment="1">
      <alignment horizontal="center"/>
    </xf>
    <xf fontId="13" fillId="3" borderId="18" numFmtId="0" xfId="0" applyFont="1" applyFill="1" applyBorder="1" applyAlignment="1">
      <alignment horizontal="center"/>
    </xf>
    <xf fontId="13" fillId="3" borderId="19" numFmtId="0" xfId="0" applyFont="1" applyFill="1" applyBorder="1" applyAlignment="1">
      <alignment horizontal="center"/>
    </xf>
    <xf fontId="13" fillId="3" borderId="20" numFmtId="0" xfId="0" applyFont="1" applyFill="1" applyBorder="1" applyAlignment="1">
      <alignment horizontal="center"/>
    </xf>
    <xf fontId="25" fillId="0" borderId="21" numFmtId="0" xfId="0" applyFont="1" applyBorder="1" applyAlignment="1" applyProtection="1">
      <alignment horizontal="center" vertical="top"/>
      <protection locked="0"/>
    </xf>
    <xf fontId="18" fillId="3" borderId="22" numFmtId="0" xfId="0" applyFont="1" applyFill="1" applyBorder="1" applyAlignment="1">
      <alignment horizontal="center" vertical="center"/>
    </xf>
    <xf fontId="13" fillId="3" borderId="23" numFmtId="0" xfId="0" applyFont="1" applyFill="1" applyBorder="1" applyAlignment="1">
      <alignment horizontal="center" vertical="center"/>
    </xf>
    <xf fontId="13" fillId="3" borderId="24" numFmtId="0" xfId="0" applyFont="1" applyFill="1" applyBorder="1" applyAlignment="1">
      <alignment horizontal="center" vertical="center"/>
    </xf>
    <xf fontId="18" fillId="3" borderId="25" numFmtId="0" xfId="0" applyFont="1" applyFill="1" applyBorder="1" applyAlignment="1">
      <alignment horizontal="center" vertical="center"/>
    </xf>
    <xf fontId="13" fillId="3" borderId="26" numFmtId="0" xfId="0" applyFont="1" applyFill="1" applyBorder="1" applyAlignment="1">
      <alignment horizontal="center" vertical="center"/>
    </xf>
    <xf fontId="13" fillId="3" borderId="27" numFmtId="0" xfId="0" applyFont="1" applyFill="1" applyBorder="1" applyAlignment="1">
      <alignment horizontal="center" vertical="center"/>
    </xf>
    <xf fontId="13" fillId="3" borderId="28" numFmtId="0" xfId="0" applyFont="1" applyFill="1" applyBorder="1" applyAlignment="1">
      <alignment horizontal="center" vertical="center"/>
    </xf>
    <xf fontId="13" fillId="3" borderId="21" numFmtId="0" xfId="0" applyFont="1" applyFill="1" applyBorder="1" applyAlignment="1">
      <alignment horizontal="center" vertical="center"/>
    </xf>
    <xf fontId="13" fillId="3" borderId="29" numFmtId="0" xfId="0" applyFont="1" applyFill="1" applyBorder="1" applyAlignment="1">
      <alignment horizontal="center" vertical="center"/>
    </xf>
    <xf fontId="18" fillId="3" borderId="30" numFmtId="0" xfId="0" applyFont="1" applyFill="1" applyBorder="1" applyAlignment="1">
      <alignment horizontal="center" vertical="center" wrapText="1"/>
    </xf>
    <xf fontId="18" fillId="3" borderId="31" numFmtId="0" xfId="0" applyFont="1" applyFill="1" applyBorder="1" applyAlignment="1">
      <alignment horizontal="center" vertical="center" wrapText="1"/>
    </xf>
    <xf fontId="18" fillId="3" borderId="27" numFmtId="0" xfId="0" applyFont="1" applyFill="1" applyBorder="1" applyAlignment="1">
      <alignment horizontal="center" vertical="center" wrapText="1"/>
    </xf>
    <xf fontId="18" fillId="3" borderId="28" numFmtId="0" xfId="0" applyFont="1" applyFill="1" applyBorder="1" applyAlignment="1">
      <alignment horizontal="center" vertical="center" wrapText="1"/>
    </xf>
    <xf fontId="18" fillId="3" borderId="32" numFmtId="0" xfId="0" applyFont="1" applyFill="1" applyBorder="1" applyAlignment="1">
      <alignment horizontal="center" vertical="center" wrapText="1"/>
    </xf>
    <xf fontId="19" fillId="0" borderId="0" numFmtId="0" xfId="0" applyFont="1" applyAlignment="1">
      <alignment horizontal="center" vertical="center"/>
    </xf>
    <xf fontId="13" fillId="3" borderId="35" numFmtId="0" xfId="0" applyFont="1" applyFill="1" applyBorder="1" applyAlignment="1">
      <alignment horizontal="right" vertical="center" wrapText="1"/>
    </xf>
    <xf fontId="0" fillId="0" borderId="36" numFmtId="0" xfId="0" applyBorder="1" applyAlignment="1" applyProtection="1">
      <alignment horizontal="center" vertical="center"/>
      <protection locked="0"/>
    </xf>
    <xf fontId="0" fillId="0" borderId="37" numFmtId="0" xfId="0" applyBorder="1" applyAlignment="1" applyProtection="1">
      <alignment horizontal="center" vertical="center"/>
      <protection locked="0"/>
    </xf>
    <xf fontId="0" fillId="0" borderId="38" numFmtId="0" xfId="0" applyBorder="1" applyAlignment="1" applyProtection="1">
      <alignment horizontal="center" vertical="center"/>
      <protection locked="0"/>
    </xf>
    <xf fontId="0" fillId="0" borderId="39" numFmtId="0" xfId="0" applyBorder="1" applyAlignment="1" applyProtection="1">
      <alignment horizontal="center" vertical="center"/>
      <protection locked="0"/>
    </xf>
    <xf fontId="0" fillId="0" borderId="40" numFmtId="0" xfId="0" applyBorder="1" applyAlignment="1" applyProtection="1">
      <alignment horizontal="center" vertical="center"/>
      <protection locked="0"/>
    </xf>
    <xf fontId="0" fillId="0" borderId="41" numFmtId="0" xfId="0" applyBorder="1" applyAlignment="1" applyProtection="1">
      <alignment horizontal="right" vertical="center"/>
      <protection locked="0"/>
    </xf>
    <xf fontId="0" fillId="0" borderId="3" numFmtId="0" xfId="0" applyBorder="1" applyAlignment="1" applyProtection="1">
      <alignment horizontal="left" vertical="center"/>
      <protection locked="0"/>
    </xf>
    <xf fontId="0" fillId="0" borderId="42" numFmtId="0" xfId="0" applyBorder="1" applyAlignment="1" applyProtection="1">
      <alignment horizontal="left" vertical="center"/>
      <protection locked="0"/>
    </xf>
    <xf fontId="0" fillId="0" borderId="11" numFmtId="0" xfId="0" applyBorder="1" applyAlignment="1" applyProtection="1">
      <alignment horizontal="center" vertical="center"/>
      <protection locked="0"/>
    </xf>
    <xf fontId="0" fillId="0" borderId="43" numFmtId="0" xfId="0" applyBorder="1" applyAlignment="1" applyProtection="1">
      <alignment horizontal="center" vertical="center"/>
      <protection locked="0"/>
    </xf>
    <xf fontId="0" fillId="0" borderId="8" numFmtId="0" xfId="0" applyBorder="1" applyAlignment="1" applyProtection="1">
      <alignment horizontal="center" vertical="center"/>
      <protection locked="0"/>
    </xf>
    <xf fontId="0" fillId="0" borderId="14" numFmtId="0" xfId="0" applyBorder="1" applyAlignment="1" applyProtection="1">
      <alignment horizontal="center" vertical="center"/>
      <protection locked="0"/>
    </xf>
    <xf fontId="0" fillId="0" borderId="44" numFmtId="0" xfId="0" applyBorder="1" applyAlignment="1" applyProtection="1">
      <alignment horizontal="center" vertical="center"/>
      <protection locked="0"/>
    </xf>
    <xf fontId="0" fillId="0" borderId="19" numFmtId="0" xfId="0" applyBorder="1" applyAlignment="1" applyProtection="1">
      <alignment horizontal="center" vertical="center"/>
      <protection locked="0"/>
    </xf>
    <xf fontId="13" fillId="3" borderId="35" numFmtId="0" xfId="0" applyFont="1" applyFill="1" applyBorder="1" applyAlignment="1">
      <alignment horizontal="right" vertical="center"/>
    </xf>
    <xf fontId="0" fillId="0" borderId="45" numFmtId="0" xfId="0" applyBorder="1" applyAlignment="1" applyProtection="1">
      <alignment horizontal="center" vertical="center"/>
      <protection locked="0"/>
    </xf>
    <xf fontId="0" fillId="0" borderId="1" numFmtId="0" xfId="0" applyBorder="1" applyAlignment="1" applyProtection="1">
      <alignment horizontal="center" vertical="center"/>
      <protection locked="0"/>
    </xf>
    <xf fontId="0" fillId="0" borderId="46" numFmtId="0" xfId="0" applyBorder="1" applyAlignment="1" applyProtection="1">
      <alignment horizontal="center" vertical="center"/>
      <protection locked="0"/>
    </xf>
    <xf fontId="0" fillId="0" borderId="47" numFmtId="0" xfId="0" applyBorder="1" applyAlignment="1" applyProtection="1">
      <alignment horizontal="center" vertical="center"/>
      <protection locked="0"/>
    </xf>
    <xf fontId="0" fillId="0" borderId="48" numFmtId="0" xfId="0" applyBorder="1" applyAlignment="1" applyProtection="1">
      <alignment horizontal="center" vertical="center"/>
      <protection locked="0"/>
    </xf>
    <xf fontId="0" fillId="0" borderId="34" numFmtId="0" xfId="0" applyBorder="1" applyAlignment="1" applyProtection="1">
      <alignment horizontal="center" vertical="center"/>
      <protection locked="0"/>
    </xf>
    <xf fontId="0" fillId="0" borderId="49" numFmtId="0" xfId="0" applyBorder="1" applyAlignment="1" applyProtection="1">
      <alignment horizontal="center" vertical="center"/>
      <protection locked="0"/>
    </xf>
    <xf fontId="9" fillId="0" borderId="3" numFmtId="0" xfId="0" applyFont="1" applyBorder="1" applyAlignment="1" applyProtection="1">
      <alignment horizontal="left" vertical="center"/>
      <protection locked="0"/>
    </xf>
    <xf fontId="22" fillId="0" borderId="0" numFmtId="0" xfId="0" applyFont="1" applyAlignment="1">
      <alignment horizontal="center" vertical="center"/>
    </xf>
    <xf fontId="0" fillId="0" borderId="41" numFmtId="0" xfId="0" applyBorder="1" applyAlignment="1" applyProtection="1">
      <alignment horizontal="center" vertical="center"/>
      <protection locked="0"/>
    </xf>
    <xf fontId="0" fillId="0" borderId="42" numFmtId="0" xfId="0" applyBorder="1" applyAlignment="1" applyProtection="1">
      <alignment horizontal="center" vertical="center"/>
      <protection locked="0"/>
    </xf>
    <xf fontId="0" fillId="0" borderId="50" numFmtId="0" xfId="0" applyBorder="1" applyAlignment="1" applyProtection="1">
      <alignment horizontal="center" vertical="center"/>
      <protection locked="0"/>
    </xf>
    <xf fontId="0" fillId="0" borderId="51" numFmtId="0" xfId="0" applyBorder="1" applyAlignment="1" applyProtection="1">
      <alignment horizontal="center" vertical="center"/>
      <protection locked="0"/>
    </xf>
    <xf fontId="0" fillId="0" borderId="52" numFmtId="0" xfId="0" applyBorder="1" applyAlignment="1" applyProtection="1">
      <alignment horizontal="center" vertical="center"/>
      <protection locked="0"/>
    </xf>
    <xf fontId="0" fillId="0" borderId="51" numFmtId="0" xfId="0" applyBorder="1" applyAlignment="1" applyProtection="1">
      <alignment vertical="center"/>
      <protection locked="0"/>
    </xf>
    <xf fontId="0" fillId="0" borderId="42" numFmtId="0" xfId="0" applyBorder="1" applyAlignment="1" applyProtection="1">
      <alignment vertical="center"/>
      <protection locked="0"/>
    </xf>
    <xf fontId="0" fillId="0" borderId="41" numFmtId="0" xfId="0" applyBorder="1" applyAlignment="1" applyProtection="1">
      <alignment vertical="center"/>
      <protection locked="0"/>
    </xf>
    <xf fontId="0" fillId="0" borderId="3" numFmtId="0" xfId="0" applyBorder="1" applyAlignment="1" applyProtection="1">
      <alignment vertical="center"/>
      <protection locked="0"/>
    </xf>
    <xf fontId="0" fillId="0" borderId="53" numFmtId="0" xfId="0" applyBorder="1" applyAlignment="1" applyProtection="1">
      <alignment vertical="center"/>
      <protection locked="0"/>
    </xf>
    <xf fontId="0" fillId="0" borderId="52" numFmtId="0" xfId="0" applyBorder="1" applyAlignment="1" applyProtection="1">
      <alignment vertical="center"/>
      <protection locked="0"/>
    </xf>
    <xf fontId="18" fillId="0" borderId="7" numFmtId="0" xfId="0" applyFont="1" applyBorder="1" applyAlignment="1">
      <alignment horizontal="center" vertical="center"/>
    </xf>
    <xf fontId="13" fillId="3" borderId="13" numFmtId="0" xfId="0" applyFont="1" applyFill="1" applyBorder="1" applyAlignment="1">
      <alignment horizontal="right" vertical="center" wrapText="1"/>
    </xf>
    <xf fontId="13" fillId="3" borderId="14" numFmtId="0" xfId="0" applyFont="1" applyFill="1" applyBorder="1" applyAlignment="1">
      <alignment horizontal="right" vertical="center"/>
    </xf>
    <xf fontId="0" fillId="0" borderId="13" numFmtId="0" xfId="0" applyBorder="1" applyAlignment="1" applyProtection="1">
      <alignment horizontal="center" vertical="center"/>
      <protection locked="0"/>
    </xf>
    <xf fontId="13" fillId="3" borderId="43" numFmtId="0" xfId="0" applyFont="1" applyFill="1" applyBorder="1" applyAlignment="1">
      <alignment horizontal="right" vertical="center"/>
    </xf>
    <xf fontId="0" fillId="0" borderId="44" numFmtId="0" xfId="0" applyBorder="1" applyAlignment="1" applyProtection="1">
      <alignment vertical="center"/>
      <protection locked="0"/>
    </xf>
    <xf fontId="0" fillId="0" borderId="43" numFmtId="0" xfId="0" applyBorder="1" applyAlignment="1" applyProtection="1">
      <alignment vertical="center"/>
      <protection locked="0"/>
    </xf>
    <xf fontId="0" fillId="0" borderId="8" numFmtId="49" xfId="0" applyNumberFormat="1" applyBorder="1" applyAlignment="1" applyProtection="1">
      <alignment vertical="center"/>
      <protection locked="0"/>
    </xf>
    <xf fontId="0" fillId="0" borderId="14" numFmtId="49" xfId="0" applyNumberFormat="1" applyBorder="1" applyAlignment="1" applyProtection="1">
      <alignment vertical="center"/>
      <protection locked="0"/>
    </xf>
    <xf fontId="0" fillId="0" borderId="44" numFmtId="49" xfId="0" applyNumberFormat="1" applyBorder="1" applyAlignment="1" applyProtection="1">
      <alignment vertical="center"/>
      <protection locked="0"/>
    </xf>
    <xf fontId="0" fillId="0" borderId="19" numFmtId="49" xfId="0" applyNumberFormat="1" applyBorder="1" applyAlignment="1" applyProtection="1">
      <alignment vertical="center"/>
      <protection locked="0"/>
    </xf>
    <xf fontId="0" fillId="0" borderId="21" numFmtId="0" xfId="0" applyBorder="1" applyAlignment="1" applyProtection="1">
      <alignment horizontal="center" vertical="center"/>
      <protection locked="0"/>
    </xf>
    <xf fontId="13" fillId="3" borderId="27" numFmtId="0" xfId="0" applyFont="1" applyFill="1" applyBorder="1" applyAlignment="1">
      <alignment horizontal="right" vertical="center"/>
    </xf>
    <xf fontId="13" fillId="3" borderId="28" numFmtId="0" xfId="0" applyFont="1" applyFill="1" applyBorder="1" applyAlignment="1">
      <alignment horizontal="right" vertical="center"/>
    </xf>
    <xf fontId="0" fillId="0" borderId="27" numFmtId="0" xfId="0" applyBorder="1" applyAlignment="1" applyProtection="1">
      <alignment horizontal="center" vertical="center"/>
      <protection locked="0"/>
    </xf>
    <xf fontId="0" fillId="0" borderId="31" numFmtId="0" xfId="0" applyBorder="1" applyAlignment="1" applyProtection="1">
      <alignment horizontal="center" vertical="center"/>
      <protection locked="0"/>
    </xf>
    <xf fontId="0" fillId="0" borderId="32" numFmtId="0" xfId="0" applyBorder="1" applyAlignment="1" applyProtection="1">
      <alignment horizontal="center" vertical="center"/>
      <protection locked="0"/>
    </xf>
    <xf fontId="13" fillId="3" borderId="31" numFmtId="0" xfId="0" applyFont="1" applyFill="1" applyBorder="1" applyAlignment="1">
      <alignment horizontal="right" vertical="center"/>
    </xf>
    <xf fontId="0" fillId="0" borderId="56" numFmtId="0" xfId="0" applyBorder="1" applyAlignment="1" applyProtection="1">
      <alignment vertical="center"/>
      <protection locked="0"/>
    </xf>
    <xf fontId="0" fillId="0" borderId="31" numFmtId="0" xfId="0" applyBorder="1" applyAlignment="1" applyProtection="1">
      <alignment vertical="center"/>
      <protection locked="0"/>
    </xf>
    <xf fontId="0" fillId="0" borderId="22" numFmtId="49" xfId="0" applyNumberFormat="1" applyBorder="1" applyAlignment="1" applyProtection="1">
      <alignment vertical="center"/>
      <protection locked="0"/>
    </xf>
    <xf fontId="0" fillId="0" borderId="28" numFmtId="49" xfId="0" applyNumberFormat="1" applyBorder="1" applyAlignment="1" applyProtection="1">
      <alignment vertical="center"/>
      <protection locked="0"/>
    </xf>
    <xf fontId="0" fillId="0" borderId="56" numFmtId="49" xfId="0" applyNumberFormat="1" applyBorder="1" applyAlignment="1" applyProtection="1">
      <alignment vertical="center"/>
      <protection locked="0"/>
    </xf>
    <xf fontId="0" fillId="0" borderId="32" numFmtId="49" xfId="0" applyNumberFormat="1" applyBorder="1" applyAlignment="1" applyProtection="1">
      <alignment vertical="center"/>
      <protection locked="0"/>
    </xf>
    <xf fontId="13" fillId="0" borderId="0" numFmtId="0" xfId="0" applyFont="1" applyAlignment="1">
      <alignment horizontal="right" wrapText="1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left" vertical="center"/>
    </xf>
    <xf fontId="24" fillId="0" borderId="0" numFmtId="0" xfId="0" applyFont="1" applyAlignment="1">
      <alignment horizontal="left" vertical="top"/>
    </xf>
    <xf fontId="18" fillId="3" borderId="0" numFmtId="0" xfId="0" applyFont="1" applyFill="1" applyAlignment="1">
      <alignment horizontal="center" vertical="center" wrapText="1"/>
    </xf>
    <xf fontId="18" fillId="3" borderId="0" numFmtId="0" xfId="0" applyFont="1" applyFill="1" applyAlignment="1">
      <alignment horizontal="center" vertical="center"/>
    </xf>
    <xf fontId="26" fillId="0" borderId="0" numFmtId="0" xfId="0" applyFont="1" applyAlignment="1">
      <alignment horizontal="center" vertical="center"/>
    </xf>
    <xf fontId="18" fillId="0" borderId="0" numFmtId="0" xfId="0" applyFont="1" applyAlignment="1">
      <alignment horizontal="center" vertical="top"/>
    </xf>
    <xf fontId="18" fillId="0" borderId="43" numFmtId="0" xfId="0" applyFont="1" applyBorder="1" applyAlignment="1">
      <alignment horizontal="center" vertical="top"/>
    </xf>
    <xf fontId="25" fillId="0" borderId="0" numFmtId="0" xfId="0" applyFont="1" applyAlignment="1">
      <alignment horizontal="center" vertical="top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3.v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4.v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5.v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view="pageBreakPreview" zoomScale="100" workbookViewId="0">
      <selection activeCell="B1" activeCellId="0" sqref="B1"/>
    </sheetView>
  </sheetViews>
  <sheetFormatPr baseColWidth="10" defaultRowHeight="14.25"/>
  <cols>
    <col bestFit="1" customWidth="1" min="1" max="1" style="1" width="13"/>
    <col customWidth="1" min="2" max="2" style="1" width="36.28515625"/>
    <col customWidth="1" min="3" max="3" style="1" width="1.42578125"/>
    <col customWidth="1" min="4" max="4" style="1" width="36.28515625"/>
    <col customWidth="1" min="5" max="5" style="1" width="1.42578125"/>
    <col min="6" max="8" style="1" width="11.42578125"/>
    <col customWidth="1" min="9" max="9" style="1" width="1.42578125"/>
    <col min="10" max="16384" style="1" width="11.42578125"/>
  </cols>
  <sheetData>
    <row r="1" ht="18">
      <c r="A1" s="1" t="s">
        <v>0</v>
      </c>
      <c r="B1" s="2" t="s">
        <v>1</v>
      </c>
      <c r="D1" s="1" t="s">
        <v>2</v>
      </c>
      <c r="G1" s="3" t="s">
        <v>3</v>
      </c>
      <c r="H1" s="3" t="s">
        <v>4</v>
      </c>
    </row>
    <row r="2" ht="18">
      <c r="A2" s="1" t="s">
        <v>5</v>
      </c>
      <c r="B2" s="2" t="s">
        <v>6</v>
      </c>
      <c r="D2" s="2" t="s">
        <v>7</v>
      </c>
      <c r="F2" s="1" t="s">
        <v>8</v>
      </c>
      <c r="G2" s="4">
        <v>0.375</v>
      </c>
      <c r="H2" s="4">
        <f t="shared" ref="H2:H6" si="0">G2+1.5/24</f>
        <v>0.4375</v>
      </c>
    </row>
    <row r="3" ht="18">
      <c r="A3" s="1" t="s">
        <v>9</v>
      </c>
      <c r="B3" s="2" t="s">
        <v>10</v>
      </c>
      <c r="F3" s="1" t="s">
        <v>11</v>
      </c>
      <c r="G3" s="4">
        <f>H2</f>
        <v>0.4375</v>
      </c>
      <c r="H3" s="4">
        <f t="shared" si="0"/>
        <v>0.5</v>
      </c>
    </row>
    <row r="4" ht="18">
      <c r="A4" s="1" t="s">
        <v>12</v>
      </c>
      <c r="B4" s="5">
        <v>46023</v>
      </c>
      <c r="C4" s="6"/>
      <c r="D4" s="6"/>
      <c r="F4" s="1" t="s">
        <v>13</v>
      </c>
      <c r="G4" s="4">
        <f>H3+0.5/24</f>
        <v>0.52083333333333337</v>
      </c>
      <c r="H4" s="4">
        <f t="shared" si="0"/>
        <v>0.58333333333333337</v>
      </c>
    </row>
    <row r="5" ht="18">
      <c r="B5" s="6"/>
      <c r="C5" s="6"/>
      <c r="D5" s="6"/>
      <c r="F5" s="1" t="s">
        <v>14</v>
      </c>
      <c r="G5" s="4">
        <f t="shared" ref="G5:G6" si="1">H4</f>
        <v>0.58333333333333337</v>
      </c>
      <c r="H5" s="4">
        <f t="shared" si="0"/>
        <v>0.64583333333333337</v>
      </c>
    </row>
    <row r="6" ht="18">
      <c r="B6" s="1" t="s">
        <v>15</v>
      </c>
      <c r="D6" s="1" t="s">
        <v>16</v>
      </c>
      <c r="F6" s="1" t="s">
        <v>17</v>
      </c>
      <c r="G6" s="4">
        <f t="shared" si="1"/>
        <v>0.64583333333333337</v>
      </c>
      <c r="H6" s="4">
        <f t="shared" si="0"/>
        <v>0.70833333333333337</v>
      </c>
    </row>
    <row r="7" ht="18">
      <c r="A7" s="1" t="s">
        <v>18</v>
      </c>
      <c r="B7" s="2" t="s">
        <v>19</v>
      </c>
      <c r="D7" s="2" t="s">
        <v>20</v>
      </c>
    </row>
    <row r="8" ht="18">
      <c r="A8" s="1" t="s">
        <v>21</v>
      </c>
      <c r="B8" s="2" t="s">
        <v>22</v>
      </c>
      <c r="D8" s="2" t="s">
        <v>23</v>
      </c>
    </row>
    <row r="9" ht="18">
      <c r="A9" s="1" t="s">
        <v>24</v>
      </c>
      <c r="B9" s="2" t="s">
        <v>25</v>
      </c>
      <c r="D9" s="2" t="s">
        <v>26</v>
      </c>
      <c r="G9" s="1" t="s">
        <v>27</v>
      </c>
    </row>
    <row r="10" ht="18">
      <c r="A10" s="1" t="s">
        <v>28</v>
      </c>
      <c r="B10" s="2" t="s">
        <v>29</v>
      </c>
      <c r="D10" s="2" t="s">
        <v>30</v>
      </c>
      <c r="G10" s="1" t="s">
        <v>31</v>
      </c>
    </row>
    <row r="11" ht="18">
      <c r="A11" s="1" t="s">
        <v>32</v>
      </c>
      <c r="B11" s="2" t="s">
        <v>33</v>
      </c>
      <c r="D11" s="2" t="s">
        <v>34</v>
      </c>
      <c r="G11" s="1" t="s">
        <v>35</v>
      </c>
    </row>
    <row r="12" ht="18">
      <c r="A12" s="1" t="s">
        <v>36</v>
      </c>
      <c r="B12" s="2" t="s">
        <v>37</v>
      </c>
      <c r="D12" s="2" t="s">
        <v>38</v>
      </c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0" view="pageBreakPreview" zoomScale="100" workbookViewId="0">
      <selection activeCell="C3" activeCellId="0" sqref="C3"/>
    </sheetView>
  </sheetViews>
  <sheetFormatPr baseColWidth="10" defaultRowHeight="15.75"/>
  <cols>
    <col customWidth="1" min="1" max="1" style="1" width="8.5703125"/>
    <col bestFit="1" customWidth="1" min="2" max="2" style="1" width="3.28515625"/>
    <col customWidth="1" min="3" max="4" style="1" width="25.7109375"/>
    <col customWidth="1" min="5" max="5" style="1" width="41.140625"/>
    <col min="6" max="16384" style="1" width="11.42578125"/>
  </cols>
  <sheetData>
    <row r="1">
      <c r="A1" s="1" t="s">
        <v>18</v>
      </c>
      <c r="B1" s="1" t="str">
        <f>Team1</f>
        <v>A-Team</v>
      </c>
    </row>
    <row r="2">
      <c r="C2" s="1" t="s">
        <v>39</v>
      </c>
      <c r="D2" s="1" t="s">
        <v>40</v>
      </c>
    </row>
    <row r="3" ht="17.25">
      <c r="A3" s="7" t="str">
        <f t="shared" ref="A3:A17" si="2">CONCATENATE(Team1," ",B3)</f>
        <v xml:space="preserve">A-Team 1</v>
      </c>
      <c r="B3" s="1">
        <v>1</v>
      </c>
      <c r="C3" s="2" t="s">
        <v>41</v>
      </c>
      <c r="D3" s="2" t="s">
        <v>42</v>
      </c>
      <c r="E3" s="1" t="str">
        <f t="shared" ref="E3:E17" si="3">IF(C3="","",IF(D3="",C3,CONCATENATE(C3," ",D3)))</f>
        <v xml:space="preserve">Albert Einstein</v>
      </c>
    </row>
    <row r="4" ht="17.25">
      <c r="A4" s="7" t="str">
        <f t="shared" si="2"/>
        <v xml:space="preserve">A-Team 2</v>
      </c>
      <c r="B4" s="1">
        <v>2</v>
      </c>
      <c r="C4" s="2" t="s">
        <v>43</v>
      </c>
      <c r="D4" s="2" t="s">
        <v>44</v>
      </c>
      <c r="E4" s="1" t="str">
        <f t="shared" si="3"/>
        <v xml:space="preserve">Angela Merkel</v>
      </c>
    </row>
    <row r="5" ht="17.25">
      <c r="A5" s="7" t="str">
        <f t="shared" si="2"/>
        <v xml:space="preserve">A-Team 3</v>
      </c>
      <c r="B5" s="1">
        <v>3</v>
      </c>
      <c r="C5" s="2" t="s">
        <v>20</v>
      </c>
      <c r="D5" s="2"/>
      <c r="E5" s="1" t="str">
        <f t="shared" si="3"/>
        <v>Adele</v>
      </c>
    </row>
    <row r="6" ht="17.25">
      <c r="A6" s="7" t="str">
        <f t="shared" si="2"/>
        <v xml:space="preserve">A-Team 4</v>
      </c>
      <c r="B6" s="1">
        <v>4</v>
      </c>
      <c r="C6" s="2" t="s">
        <v>45</v>
      </c>
      <c r="D6" s="2"/>
      <c r="E6" s="1" t="str">
        <f t="shared" si="3"/>
        <v xml:space="preserve">Arnold Schwarzenegger</v>
      </c>
    </row>
    <row r="7" ht="17.25">
      <c r="A7" s="7" t="str">
        <f t="shared" si="2"/>
        <v xml:space="preserve">A-Team 5</v>
      </c>
      <c r="B7" s="1">
        <v>5</v>
      </c>
      <c r="C7" s="2" t="s">
        <v>46</v>
      </c>
      <c r="D7" s="2" t="s">
        <v>47</v>
      </c>
      <c r="E7" s="1" t="str">
        <f t="shared" si="3"/>
        <v xml:space="preserve">Alexander Graham Bell</v>
      </c>
    </row>
    <row r="8" ht="17.25">
      <c r="A8" s="7" t="str">
        <f t="shared" si="2"/>
        <v xml:space="preserve">A-Team 6</v>
      </c>
      <c r="B8" s="1">
        <v>6</v>
      </c>
      <c r="C8" s="2" t="s">
        <v>48</v>
      </c>
      <c r="D8" s="2" t="s">
        <v>49</v>
      </c>
      <c r="E8" s="1" t="str">
        <f t="shared" si="3"/>
        <v xml:space="preserve">Amelia Earhart</v>
      </c>
    </row>
    <row r="9" ht="17.25">
      <c r="A9" s="7" t="str">
        <f t="shared" si="2"/>
        <v xml:space="preserve">A-Team 7</v>
      </c>
      <c r="B9" s="1">
        <v>7</v>
      </c>
      <c r="C9" s="2" t="s">
        <v>50</v>
      </c>
      <c r="D9" s="2" t="s">
        <v>51</v>
      </c>
      <c r="E9" s="1" t="str">
        <f t="shared" si="3"/>
        <v xml:space="preserve">Anne Frank</v>
      </c>
    </row>
    <row r="10" ht="17.25">
      <c r="A10" s="7" t="str">
        <f t="shared" si="2"/>
        <v xml:space="preserve">A-Team 8</v>
      </c>
      <c r="B10" s="1">
        <v>8</v>
      </c>
      <c r="C10" s="2" t="s">
        <v>52</v>
      </c>
      <c r="D10" s="2" t="s">
        <v>53</v>
      </c>
      <c r="E10" s="1" t="str">
        <f t="shared" si="3"/>
        <v xml:space="preserve">Audrey Hepburn</v>
      </c>
    </row>
    <row r="11" ht="17.25">
      <c r="A11" s="7" t="str">
        <f t="shared" si="2"/>
        <v xml:space="preserve">A-Team 9</v>
      </c>
      <c r="B11" s="1">
        <v>9</v>
      </c>
      <c r="C11" s="2"/>
      <c r="D11" s="2"/>
      <c r="E11" s="1" t="str">
        <f t="shared" si="3"/>
        <v/>
      </c>
    </row>
    <row r="12" ht="17.25">
      <c r="A12" s="7" t="str">
        <f t="shared" si="2"/>
        <v xml:space="preserve">A-Team 10</v>
      </c>
      <c r="B12" s="1">
        <v>10</v>
      </c>
      <c r="C12" s="2"/>
      <c r="D12" s="2"/>
      <c r="E12" s="1" t="str">
        <f t="shared" si="3"/>
        <v/>
      </c>
    </row>
    <row r="13" ht="17.25">
      <c r="A13" s="7" t="str">
        <f t="shared" si="2"/>
        <v xml:space="preserve">A-Team 11</v>
      </c>
      <c r="B13" s="1">
        <v>11</v>
      </c>
      <c r="C13" s="2"/>
      <c r="D13" s="2"/>
      <c r="E13" s="1" t="str">
        <f t="shared" si="3"/>
        <v/>
      </c>
    </row>
    <row r="14" ht="17.25">
      <c r="A14" s="7" t="str">
        <f t="shared" si="2"/>
        <v xml:space="preserve">A-Team 12</v>
      </c>
      <c r="B14" s="1">
        <v>12</v>
      </c>
      <c r="C14" s="2"/>
      <c r="D14" s="2"/>
      <c r="E14" s="1" t="str">
        <f t="shared" si="3"/>
        <v/>
      </c>
    </row>
    <row r="15" ht="17.25">
      <c r="A15" s="7" t="str">
        <f t="shared" si="2"/>
        <v xml:space="preserve">A-Team 13</v>
      </c>
      <c r="B15" s="1">
        <v>13</v>
      </c>
      <c r="C15" s="2"/>
      <c r="D15" s="2"/>
      <c r="E15" s="1" t="str">
        <f t="shared" si="3"/>
        <v/>
      </c>
    </row>
    <row r="16" ht="17.25">
      <c r="A16" s="7" t="str">
        <f t="shared" si="2"/>
        <v xml:space="preserve">A-Team 14</v>
      </c>
      <c r="B16" s="1">
        <v>14</v>
      </c>
      <c r="C16" s="2"/>
      <c r="D16" s="2"/>
      <c r="E16" s="1" t="str">
        <f t="shared" si="3"/>
        <v/>
      </c>
    </row>
    <row r="17" ht="17.25">
      <c r="A17" s="7" t="str">
        <f t="shared" si="2"/>
        <v xml:space="preserve">A-Team 15</v>
      </c>
      <c r="B17" s="1">
        <v>15</v>
      </c>
      <c r="C17" s="2"/>
      <c r="D17" s="2"/>
      <c r="E17" s="1" t="str">
        <f t="shared" si="3"/>
        <v/>
      </c>
    </row>
    <row r="19">
      <c r="A19" s="1" t="s">
        <v>21</v>
      </c>
      <c r="B19" s="1" t="str">
        <f>Team2</f>
        <v>B-Team</v>
      </c>
    </row>
    <row r="20">
      <c r="C20" s="1" t="s">
        <v>39</v>
      </c>
      <c r="D20" s="1" t="s">
        <v>40</v>
      </c>
    </row>
    <row r="21" ht="17.25">
      <c r="A21" s="7" t="str">
        <f t="shared" ref="A21:A35" si="4">CONCATENATE(Team2," ",B21)</f>
        <v xml:space="preserve">B-Team 1</v>
      </c>
      <c r="B21" s="1">
        <v>1</v>
      </c>
      <c r="C21" s="2" t="s">
        <v>54</v>
      </c>
      <c r="D21" s="2" t="s">
        <v>55</v>
      </c>
      <c r="E21" s="1" t="str">
        <f t="shared" ref="E21:E84" si="5">IF(C21="","",IF(D21="",C21,CONCATENATE(C21," ",D21)))</f>
        <v xml:space="preserve">Barack Obama</v>
      </c>
    </row>
    <row r="22" ht="17.25">
      <c r="A22" s="7" t="str">
        <f t="shared" si="4"/>
        <v xml:space="preserve">B-Team 2</v>
      </c>
      <c r="B22" s="1">
        <v>2</v>
      </c>
      <c r="C22" s="2" t="s">
        <v>56</v>
      </c>
      <c r="D22" s="2"/>
      <c r="E22" s="1" t="str">
        <f t="shared" si="5"/>
        <v>Beyoncé</v>
      </c>
    </row>
    <row r="23" ht="17.25">
      <c r="A23" s="7" t="str">
        <f t="shared" si="4"/>
        <v xml:space="preserve">B-Team 3</v>
      </c>
      <c r="B23" s="1">
        <v>3</v>
      </c>
      <c r="C23" s="2" t="s">
        <v>57</v>
      </c>
      <c r="D23" s="2"/>
      <c r="E23" s="1" t="str">
        <f t="shared" si="5"/>
        <v xml:space="preserve">Brad Pitt</v>
      </c>
    </row>
    <row r="24" ht="17.25">
      <c r="A24" s="7" t="str">
        <f t="shared" si="4"/>
        <v xml:space="preserve">B-Team 4</v>
      </c>
      <c r="B24" s="1">
        <v>4</v>
      </c>
      <c r="C24" s="2" t="s">
        <v>58</v>
      </c>
      <c r="D24" s="2" t="s">
        <v>59</v>
      </c>
      <c r="E24" s="1" t="str">
        <f t="shared" si="5"/>
        <v xml:space="preserve">Boris Becker</v>
      </c>
    </row>
    <row r="25" ht="17.25">
      <c r="A25" s="7" t="str">
        <f t="shared" si="4"/>
        <v xml:space="preserve">B-Team 5</v>
      </c>
      <c r="B25" s="1">
        <v>5</v>
      </c>
      <c r="C25" s="2" t="s">
        <v>60</v>
      </c>
      <c r="D25" s="2" t="s">
        <v>61</v>
      </c>
      <c r="E25" s="1" t="str">
        <f t="shared" si="5"/>
        <v xml:space="preserve">Bill Gates</v>
      </c>
    </row>
    <row r="26" ht="17.25">
      <c r="A26" s="7" t="str">
        <f t="shared" si="4"/>
        <v xml:space="preserve">B-Team 6</v>
      </c>
      <c r="B26" s="1">
        <v>6</v>
      </c>
      <c r="C26" s="2" t="s">
        <v>62</v>
      </c>
      <c r="D26" s="2" t="s">
        <v>63</v>
      </c>
      <c r="E26" s="1" t="str">
        <f t="shared" si="5"/>
        <v xml:space="preserve">Bob Marley</v>
      </c>
    </row>
    <row r="27" ht="17.25">
      <c r="A27" s="7" t="str">
        <f t="shared" si="4"/>
        <v xml:space="preserve">B-Team 7</v>
      </c>
      <c r="B27" s="1">
        <v>7</v>
      </c>
      <c r="C27" s="2" t="s">
        <v>64</v>
      </c>
      <c r="D27" s="2" t="s">
        <v>65</v>
      </c>
      <c r="E27" s="1" t="str">
        <f t="shared" si="5"/>
        <v xml:space="preserve">Brigitte Bardot</v>
      </c>
    </row>
    <row r="28" ht="17.25">
      <c r="A28" s="7" t="str">
        <f t="shared" si="4"/>
        <v xml:space="preserve">B-Team 8</v>
      </c>
      <c r="B28" s="1">
        <v>8</v>
      </c>
      <c r="C28" s="2" t="s">
        <v>66</v>
      </c>
      <c r="D28" s="2" t="s">
        <v>67</v>
      </c>
      <c r="E28" s="1" t="str">
        <f t="shared" si="5"/>
        <v xml:space="preserve">Bruce Willis</v>
      </c>
    </row>
    <row r="29" ht="17.25">
      <c r="A29" s="7" t="str">
        <f t="shared" si="4"/>
        <v xml:space="preserve">B-Team 9</v>
      </c>
      <c r="B29" s="1">
        <v>9</v>
      </c>
      <c r="C29" s="2"/>
      <c r="D29" s="2"/>
      <c r="E29" s="1" t="str">
        <f t="shared" si="5"/>
        <v/>
      </c>
    </row>
    <row r="30" ht="17.25">
      <c r="A30" s="7" t="str">
        <f t="shared" si="4"/>
        <v xml:space="preserve">B-Team 10</v>
      </c>
      <c r="B30" s="1">
        <v>10</v>
      </c>
      <c r="C30" s="2"/>
      <c r="D30" s="2"/>
      <c r="E30" s="1" t="str">
        <f t="shared" si="5"/>
        <v/>
      </c>
    </row>
    <row r="31" ht="17.25">
      <c r="A31" s="7" t="str">
        <f t="shared" si="4"/>
        <v xml:space="preserve">B-Team 11</v>
      </c>
      <c r="B31" s="1">
        <v>11</v>
      </c>
      <c r="C31" s="2"/>
      <c r="D31" s="2"/>
      <c r="E31" s="1" t="str">
        <f t="shared" si="5"/>
        <v/>
      </c>
    </row>
    <row r="32" ht="17.25">
      <c r="A32" s="7" t="str">
        <f t="shared" si="4"/>
        <v xml:space="preserve">B-Team 12</v>
      </c>
      <c r="B32" s="1">
        <v>12</v>
      </c>
      <c r="C32" s="2"/>
      <c r="D32" s="2"/>
      <c r="E32" s="1" t="str">
        <f t="shared" si="5"/>
        <v/>
      </c>
    </row>
    <row r="33" ht="17.25">
      <c r="A33" s="7" t="str">
        <f t="shared" si="4"/>
        <v xml:space="preserve">B-Team 13</v>
      </c>
      <c r="B33" s="1">
        <v>13</v>
      </c>
      <c r="C33" s="2"/>
      <c r="D33" s="2"/>
      <c r="E33" s="1" t="str">
        <f t="shared" si="5"/>
        <v/>
      </c>
    </row>
    <row r="34" ht="17.25">
      <c r="A34" s="7" t="str">
        <f t="shared" si="4"/>
        <v xml:space="preserve">B-Team 14</v>
      </c>
      <c r="B34" s="1">
        <v>14</v>
      </c>
      <c r="C34" s="2"/>
      <c r="D34" s="2"/>
      <c r="E34" s="1" t="str">
        <f t="shared" si="5"/>
        <v/>
      </c>
    </row>
    <row r="35" ht="17.25">
      <c r="A35" s="7" t="str">
        <f t="shared" si="4"/>
        <v xml:space="preserve">B-Team 15</v>
      </c>
      <c r="B35" s="1">
        <v>15</v>
      </c>
      <c r="C35" s="2"/>
      <c r="D35" s="2"/>
      <c r="E35" s="1" t="str">
        <f t="shared" si="5"/>
        <v/>
      </c>
    </row>
    <row r="37">
      <c r="A37" s="1" t="s">
        <v>24</v>
      </c>
      <c r="B37" s="1" t="str">
        <f>Team3</f>
        <v>C-Team</v>
      </c>
    </row>
    <row r="38">
      <c r="C38" s="1" t="s">
        <v>39</v>
      </c>
      <c r="D38" s="1" t="s">
        <v>40</v>
      </c>
    </row>
    <row r="39" ht="17.25">
      <c r="A39" s="7" t="str">
        <f t="shared" ref="A39:A53" si="6">CONCATENATE(Team3," ",B39)</f>
        <v xml:space="preserve">C-Team 1</v>
      </c>
      <c r="B39" s="1">
        <v>1</v>
      </c>
      <c r="C39" s="2" t="s">
        <v>68</v>
      </c>
      <c r="D39" s="2" t="s">
        <v>69</v>
      </c>
      <c r="E39" s="1" t="str">
        <f t="shared" si="5"/>
        <v xml:space="preserve">Christiano Ronaldo</v>
      </c>
    </row>
    <row r="40" ht="17.25">
      <c r="A40" s="7" t="str">
        <f t="shared" si="6"/>
        <v xml:space="preserve">C-Team 2</v>
      </c>
      <c r="B40" s="1">
        <v>2</v>
      </c>
      <c r="C40" s="2" t="s">
        <v>70</v>
      </c>
      <c r="D40" s="2" t="s">
        <v>71</v>
      </c>
      <c r="E40" s="1" t="str">
        <f t="shared" si="5"/>
        <v xml:space="preserve">Celine Dion</v>
      </c>
    </row>
    <row r="41" ht="17.25">
      <c r="A41" s="7" t="str">
        <f t="shared" si="6"/>
        <v xml:space="preserve">C-Team 3</v>
      </c>
      <c r="B41" s="1">
        <v>3</v>
      </c>
      <c r="C41" s="2" t="s">
        <v>72</v>
      </c>
      <c r="D41" s="2" t="s">
        <v>73</v>
      </c>
      <c r="E41" s="1" t="str">
        <f t="shared" si="5"/>
        <v xml:space="preserve">Charlie Chaplin</v>
      </c>
    </row>
    <row r="42" ht="17.25">
      <c r="A42" s="7" t="str">
        <f t="shared" si="6"/>
        <v xml:space="preserve">C-Team 4</v>
      </c>
      <c r="B42" s="1">
        <v>4</v>
      </c>
      <c r="C42" s="2" t="s">
        <v>74</v>
      </c>
      <c r="D42" s="2" t="s">
        <v>75</v>
      </c>
      <c r="E42" s="1" t="str">
        <f t="shared" si="5"/>
        <v xml:space="preserve">Clint Eastwood</v>
      </c>
    </row>
    <row r="43" ht="17.25">
      <c r="A43" s="7" t="str">
        <f t="shared" si="6"/>
        <v xml:space="preserve">C-Team 5</v>
      </c>
      <c r="B43" s="1">
        <v>5</v>
      </c>
      <c r="C43" s="2" t="s">
        <v>26</v>
      </c>
      <c r="D43" s="2"/>
      <c r="E43" s="1" t="str">
        <f t="shared" si="5"/>
        <v xml:space="preserve">Coco Chanel</v>
      </c>
    </row>
    <row r="44" ht="17.25">
      <c r="A44" s="7" t="str">
        <f t="shared" si="6"/>
        <v xml:space="preserve">C-Team 6</v>
      </c>
      <c r="B44" s="1">
        <v>6</v>
      </c>
      <c r="C44" s="2" t="s">
        <v>76</v>
      </c>
      <c r="D44" s="2" t="s">
        <v>77</v>
      </c>
      <c r="E44" s="1" t="str">
        <f t="shared" si="5"/>
        <v xml:space="preserve">Christopher Nolan</v>
      </c>
    </row>
    <row r="45" ht="17.25">
      <c r="A45" s="7" t="str">
        <f t="shared" si="6"/>
        <v xml:space="preserve">C-Team 7</v>
      </c>
      <c r="B45" s="1">
        <v>7</v>
      </c>
      <c r="C45" s="2"/>
      <c r="D45" s="2"/>
      <c r="E45" s="1" t="str">
        <f t="shared" si="5"/>
        <v/>
      </c>
    </row>
    <row r="46" ht="17.25">
      <c r="A46" s="7" t="str">
        <f t="shared" si="6"/>
        <v xml:space="preserve">C-Team 8</v>
      </c>
      <c r="B46" s="1">
        <v>8</v>
      </c>
      <c r="C46" s="2"/>
      <c r="D46" s="2"/>
      <c r="E46" s="1" t="str">
        <f t="shared" si="5"/>
        <v/>
      </c>
    </row>
    <row r="47" ht="17.25">
      <c r="A47" s="7" t="str">
        <f t="shared" si="6"/>
        <v xml:space="preserve">C-Team 9</v>
      </c>
      <c r="B47" s="1">
        <v>9</v>
      </c>
      <c r="C47" s="2"/>
      <c r="D47" s="2"/>
      <c r="E47" s="1" t="str">
        <f t="shared" si="5"/>
        <v/>
      </c>
    </row>
    <row r="48" ht="17.25">
      <c r="A48" s="7" t="str">
        <f t="shared" si="6"/>
        <v xml:space="preserve">C-Team 10</v>
      </c>
      <c r="B48" s="1">
        <v>10</v>
      </c>
      <c r="C48" s="2"/>
      <c r="D48" s="2"/>
      <c r="E48" s="1" t="str">
        <f t="shared" si="5"/>
        <v/>
      </c>
    </row>
    <row r="49" ht="17.25">
      <c r="A49" s="7" t="str">
        <f t="shared" si="6"/>
        <v xml:space="preserve">C-Team 11</v>
      </c>
      <c r="B49" s="1">
        <v>11</v>
      </c>
      <c r="C49" s="2"/>
      <c r="D49" s="2"/>
      <c r="E49" s="1" t="str">
        <f t="shared" si="5"/>
        <v/>
      </c>
    </row>
    <row r="50" ht="17.25">
      <c r="A50" s="7" t="str">
        <f t="shared" si="6"/>
        <v xml:space="preserve">C-Team 12</v>
      </c>
      <c r="B50" s="1">
        <v>12</v>
      </c>
      <c r="C50" s="2"/>
      <c r="D50" s="2"/>
      <c r="E50" s="1" t="str">
        <f t="shared" si="5"/>
        <v/>
      </c>
    </row>
    <row r="51" ht="17.25">
      <c r="A51" s="7" t="str">
        <f t="shared" si="6"/>
        <v xml:space="preserve">C-Team 13</v>
      </c>
      <c r="B51" s="1">
        <v>13</v>
      </c>
      <c r="C51" s="2"/>
      <c r="D51" s="2"/>
      <c r="E51" s="1" t="str">
        <f t="shared" si="5"/>
        <v/>
      </c>
    </row>
    <row r="52" ht="17.25">
      <c r="A52" s="7" t="str">
        <f t="shared" si="6"/>
        <v xml:space="preserve">C-Team 14</v>
      </c>
      <c r="B52" s="1">
        <v>14</v>
      </c>
      <c r="C52" s="2"/>
      <c r="D52" s="2"/>
      <c r="E52" s="1" t="str">
        <f t="shared" si="5"/>
        <v/>
      </c>
    </row>
    <row r="53" ht="17.25">
      <c r="A53" s="7" t="str">
        <f t="shared" si="6"/>
        <v xml:space="preserve">C-Team 15</v>
      </c>
      <c r="B53" s="1">
        <v>15</v>
      </c>
      <c r="C53" s="2"/>
      <c r="D53" s="2"/>
      <c r="E53" s="1" t="str">
        <f t="shared" si="5"/>
        <v/>
      </c>
    </row>
    <row r="55">
      <c r="A55" s="1" t="s">
        <v>28</v>
      </c>
      <c r="B55" s="1" t="str">
        <f>Team4</f>
        <v>D-Team</v>
      </c>
    </row>
    <row r="56">
      <c r="C56" s="1" t="s">
        <v>39</v>
      </c>
      <c r="D56" s="1" t="s">
        <v>40</v>
      </c>
    </row>
    <row r="57" ht="17.25">
      <c r="A57" s="7" t="str">
        <f t="shared" ref="A57:A71" si="7">CONCATENATE(Team4," ",B57)</f>
        <v xml:space="preserve">D-Team 1</v>
      </c>
      <c r="B57" s="1">
        <v>1</v>
      </c>
      <c r="C57" s="2" t="s">
        <v>78</v>
      </c>
      <c r="D57" s="2" t="s">
        <v>79</v>
      </c>
      <c r="E57" s="1" t="str">
        <f t="shared" si="5"/>
        <v xml:space="preserve">David Bowie</v>
      </c>
    </row>
    <row r="58" ht="17.25">
      <c r="A58" s="7" t="str">
        <f t="shared" si="7"/>
        <v xml:space="preserve">D-Team 2</v>
      </c>
      <c r="B58" s="1">
        <v>2</v>
      </c>
      <c r="C58" s="2" t="s">
        <v>80</v>
      </c>
      <c r="D58" s="2" t="s">
        <v>81</v>
      </c>
      <c r="E58" s="1" t="str">
        <f t="shared" si="5"/>
        <v xml:space="preserve">Denzel Washington</v>
      </c>
    </row>
    <row r="59" ht="17.25">
      <c r="A59" s="7" t="str">
        <f t="shared" si="7"/>
        <v xml:space="preserve">D-Team 3</v>
      </c>
      <c r="B59" s="1">
        <v>3</v>
      </c>
      <c r="C59" s="2" t="s">
        <v>82</v>
      </c>
      <c r="D59" s="2" t="s">
        <v>83</v>
      </c>
      <c r="E59" s="1" t="str">
        <f t="shared" si="5"/>
        <v xml:space="preserve">Dua Lipa</v>
      </c>
    </row>
    <row r="60" ht="17.25">
      <c r="A60" s="7" t="str">
        <f t="shared" si="7"/>
        <v xml:space="preserve">D-Team 4</v>
      </c>
      <c r="B60" s="1">
        <v>4</v>
      </c>
      <c r="C60" s="2" t="s">
        <v>84</v>
      </c>
      <c r="D60" s="2" t="s">
        <v>85</v>
      </c>
      <c r="E60" s="1" t="str">
        <f t="shared" si="5"/>
        <v xml:space="preserve">Daniel Craig</v>
      </c>
    </row>
    <row r="61" ht="17.25">
      <c r="A61" s="7" t="str">
        <f t="shared" si="7"/>
        <v xml:space="preserve">D-Team 5</v>
      </c>
      <c r="B61" s="1">
        <v>5</v>
      </c>
      <c r="C61" s="2" t="s">
        <v>86</v>
      </c>
      <c r="D61" s="2" t="s">
        <v>87</v>
      </c>
      <c r="E61" s="1" t="str">
        <f t="shared" si="5"/>
        <v xml:space="preserve">Dolly Parton</v>
      </c>
    </row>
    <row r="62" ht="17.25">
      <c r="A62" s="7" t="str">
        <f t="shared" si="7"/>
        <v xml:space="preserve">D-Team 6</v>
      </c>
      <c r="B62" s="1">
        <v>6</v>
      </c>
      <c r="C62" s="2" t="s">
        <v>88</v>
      </c>
      <c r="D62" s="2" t="s">
        <v>89</v>
      </c>
      <c r="E62" s="1" t="str">
        <f t="shared" si="5"/>
        <v xml:space="preserve">Donald Glover</v>
      </c>
    </row>
    <row r="63" ht="17.25">
      <c r="A63" s="7" t="str">
        <f t="shared" si="7"/>
        <v xml:space="preserve">D-Team 7</v>
      </c>
      <c r="B63" s="1">
        <v>7</v>
      </c>
      <c r="C63" s="2" t="s">
        <v>90</v>
      </c>
      <c r="D63" s="2" t="s">
        <v>91</v>
      </c>
      <c r="E63" s="1" t="str">
        <f t="shared" si="5"/>
        <v xml:space="preserve">Diego Maradona</v>
      </c>
    </row>
    <row r="64" ht="17.25">
      <c r="A64" s="7" t="str">
        <f t="shared" si="7"/>
        <v xml:space="preserve">D-Team 8</v>
      </c>
      <c r="B64" s="1">
        <v>8</v>
      </c>
      <c r="C64" s="2"/>
      <c r="D64" s="2"/>
      <c r="E64" s="1" t="str">
        <f t="shared" si="5"/>
        <v/>
      </c>
    </row>
    <row r="65" ht="17.25">
      <c r="A65" s="7" t="str">
        <f t="shared" si="7"/>
        <v xml:space="preserve">D-Team 9</v>
      </c>
      <c r="B65" s="1">
        <v>9</v>
      </c>
      <c r="C65" s="2"/>
      <c r="D65" s="2"/>
      <c r="E65" s="1" t="str">
        <f t="shared" si="5"/>
        <v/>
      </c>
    </row>
    <row r="66" ht="17.25">
      <c r="A66" s="7" t="str">
        <f t="shared" si="7"/>
        <v xml:space="preserve">D-Team 10</v>
      </c>
      <c r="B66" s="1">
        <v>10</v>
      </c>
      <c r="C66" s="2"/>
      <c r="D66" s="2"/>
      <c r="E66" s="1" t="str">
        <f t="shared" si="5"/>
        <v/>
      </c>
    </row>
    <row r="67" ht="17.25">
      <c r="A67" s="7" t="str">
        <f t="shared" si="7"/>
        <v xml:space="preserve">D-Team 11</v>
      </c>
      <c r="B67" s="1">
        <v>11</v>
      </c>
      <c r="C67" s="2"/>
      <c r="D67" s="2"/>
      <c r="E67" s="1" t="str">
        <f t="shared" si="5"/>
        <v/>
      </c>
    </row>
    <row r="68" ht="17.25">
      <c r="A68" s="7" t="str">
        <f t="shared" si="7"/>
        <v xml:space="preserve">D-Team 12</v>
      </c>
      <c r="B68" s="1">
        <v>12</v>
      </c>
      <c r="C68" s="2"/>
      <c r="D68" s="2"/>
      <c r="E68" s="1" t="str">
        <f t="shared" si="5"/>
        <v/>
      </c>
    </row>
    <row r="69" ht="17.25">
      <c r="A69" s="7" t="str">
        <f t="shared" si="7"/>
        <v xml:space="preserve">D-Team 13</v>
      </c>
      <c r="B69" s="1">
        <v>13</v>
      </c>
      <c r="C69" s="2"/>
      <c r="D69" s="2"/>
      <c r="E69" s="1" t="str">
        <f t="shared" si="5"/>
        <v/>
      </c>
    </row>
    <row r="70" ht="17.25">
      <c r="A70" s="7" t="str">
        <f t="shared" si="7"/>
        <v xml:space="preserve">D-Team 14</v>
      </c>
      <c r="B70" s="1">
        <v>14</v>
      </c>
      <c r="C70" s="2"/>
      <c r="D70" s="2"/>
      <c r="E70" s="1" t="str">
        <f t="shared" si="5"/>
        <v/>
      </c>
    </row>
    <row r="71" ht="17.25">
      <c r="A71" s="7" t="str">
        <f t="shared" si="7"/>
        <v xml:space="preserve">D-Team 15</v>
      </c>
      <c r="B71" s="1">
        <v>15</v>
      </c>
      <c r="C71" s="2"/>
      <c r="D71" s="2"/>
      <c r="E71" s="1" t="str">
        <f t="shared" si="5"/>
        <v/>
      </c>
    </row>
    <row r="73">
      <c r="A73" s="1" t="s">
        <v>32</v>
      </c>
      <c r="B73" s="1" t="str">
        <f>Team5</f>
        <v>E-Team</v>
      </c>
    </row>
    <row r="74">
      <c r="C74" s="1" t="s">
        <v>39</v>
      </c>
      <c r="D74" s="1" t="s">
        <v>40</v>
      </c>
    </row>
    <row r="75" ht="17.25">
      <c r="A75" s="7" t="str">
        <f t="shared" ref="A75:A89" si="8">CONCATENATE(Team5," ",B75)</f>
        <v xml:space="preserve">E-Team 1</v>
      </c>
      <c r="B75" s="1">
        <v>1</v>
      </c>
      <c r="C75" s="2" t="s">
        <v>92</v>
      </c>
      <c r="D75" s="2" t="s">
        <v>93</v>
      </c>
      <c r="E75" s="1" t="str">
        <f t="shared" si="5"/>
        <v xml:space="preserve">Elton John</v>
      </c>
    </row>
    <row r="76" ht="17.25">
      <c r="A76" s="7" t="str">
        <f t="shared" si="8"/>
        <v xml:space="preserve">E-Team 2</v>
      </c>
      <c r="B76" s="1">
        <v>2</v>
      </c>
      <c r="C76" s="2" t="s">
        <v>94</v>
      </c>
      <c r="D76" s="2" t="s">
        <v>95</v>
      </c>
      <c r="E76" s="1" t="str">
        <f t="shared" si="5"/>
        <v xml:space="preserve">Emma Watson</v>
      </c>
    </row>
    <row r="77" ht="17.25">
      <c r="A77" s="7" t="str">
        <f t="shared" si="8"/>
        <v xml:space="preserve">E-Team 3</v>
      </c>
      <c r="B77" s="1">
        <v>3</v>
      </c>
      <c r="C77" s="2" t="s">
        <v>96</v>
      </c>
      <c r="D77" s="2"/>
      <c r="E77" s="1" t="str">
        <f t="shared" si="5"/>
        <v>Eminem</v>
      </c>
    </row>
    <row r="78" ht="17.25">
      <c r="A78" s="7" t="str">
        <f t="shared" si="8"/>
        <v xml:space="preserve">E-Team 4</v>
      </c>
      <c r="B78" s="1">
        <v>4</v>
      </c>
      <c r="C78" s="2" t="s">
        <v>97</v>
      </c>
      <c r="D78" s="2" t="s">
        <v>98</v>
      </c>
      <c r="E78" s="1" t="str">
        <f t="shared" si="5"/>
        <v xml:space="preserve">Elvis Presley</v>
      </c>
    </row>
    <row r="79" ht="17.25">
      <c r="A79" s="7" t="str">
        <f t="shared" si="8"/>
        <v xml:space="preserve">E-Team 5</v>
      </c>
      <c r="B79" s="1">
        <v>5</v>
      </c>
      <c r="C79" s="2" t="s">
        <v>99</v>
      </c>
      <c r="D79" s="2" t="s">
        <v>100</v>
      </c>
      <c r="E79" s="1" t="str">
        <f t="shared" si="5"/>
        <v xml:space="preserve">Ed Sheeran</v>
      </c>
    </row>
    <row r="80" ht="17.25">
      <c r="A80" s="7" t="str">
        <f t="shared" si="8"/>
        <v xml:space="preserve">E-Team 6</v>
      </c>
      <c r="B80" s="1">
        <v>6</v>
      </c>
      <c r="C80" s="2" t="s">
        <v>101</v>
      </c>
      <c r="D80" s="2" t="s">
        <v>102</v>
      </c>
      <c r="E80" s="1" t="str">
        <f t="shared" si="5"/>
        <v xml:space="preserve">Eddie Murphy</v>
      </c>
    </row>
    <row r="81" ht="17.25">
      <c r="A81" s="7" t="str">
        <f t="shared" si="8"/>
        <v xml:space="preserve">E-Team 7</v>
      </c>
      <c r="B81" s="1">
        <v>7</v>
      </c>
      <c r="C81" s="2" t="s">
        <v>103</v>
      </c>
      <c r="D81" s="2" t="s">
        <v>104</v>
      </c>
      <c r="E81" s="1" t="str">
        <f t="shared" si="5"/>
        <v xml:space="preserve">Ennio Morricone</v>
      </c>
    </row>
    <row r="82" ht="17.25">
      <c r="A82" s="7" t="str">
        <f t="shared" si="8"/>
        <v xml:space="preserve">E-Team 8</v>
      </c>
      <c r="B82" s="1">
        <v>8</v>
      </c>
      <c r="C82" s="2" t="s">
        <v>105</v>
      </c>
      <c r="D82" s="2" t="s">
        <v>106</v>
      </c>
      <c r="E82" s="1" t="str">
        <f t="shared" si="5"/>
        <v xml:space="preserve">Eva Mendes</v>
      </c>
    </row>
    <row r="83" ht="17.25">
      <c r="A83" s="7" t="str">
        <f t="shared" si="8"/>
        <v xml:space="preserve">E-Team 9</v>
      </c>
      <c r="B83" s="1">
        <v>9</v>
      </c>
      <c r="C83" s="2" t="s">
        <v>107</v>
      </c>
      <c r="D83" s="2" t="s">
        <v>108</v>
      </c>
      <c r="E83" s="1" t="str">
        <f t="shared" si="5"/>
        <v xml:space="preserve">Ellen DeGeneres</v>
      </c>
    </row>
    <row r="84" ht="17.25">
      <c r="A84" s="7" t="str">
        <f t="shared" si="8"/>
        <v xml:space="preserve">E-Team 10</v>
      </c>
      <c r="B84" s="1">
        <v>10</v>
      </c>
      <c r="C84" s="2"/>
      <c r="D84" s="2"/>
      <c r="E84" s="1" t="str">
        <f t="shared" si="5"/>
        <v/>
      </c>
    </row>
    <row r="85" ht="17.25">
      <c r="A85" s="7" t="str">
        <f t="shared" si="8"/>
        <v xml:space="preserve">E-Team 11</v>
      </c>
      <c r="B85" s="1">
        <v>11</v>
      </c>
      <c r="C85" s="2"/>
      <c r="D85" s="2"/>
      <c r="E85" s="1" t="str">
        <f t="shared" ref="E85:E107" si="9">IF(C85="","",IF(D85="",C85,CONCATENATE(C85," ",D85)))</f>
        <v/>
      </c>
    </row>
    <row r="86" ht="17.25">
      <c r="A86" s="7" t="str">
        <f t="shared" si="8"/>
        <v xml:space="preserve">E-Team 12</v>
      </c>
      <c r="B86" s="1">
        <v>12</v>
      </c>
      <c r="C86" s="2"/>
      <c r="D86" s="2"/>
      <c r="E86" s="1" t="str">
        <f t="shared" si="9"/>
        <v/>
      </c>
    </row>
    <row r="87" ht="17.25">
      <c r="A87" s="7" t="str">
        <f t="shared" si="8"/>
        <v xml:space="preserve">E-Team 13</v>
      </c>
      <c r="B87" s="1">
        <v>13</v>
      </c>
      <c r="C87" s="2"/>
      <c r="D87" s="2"/>
      <c r="E87" s="1" t="str">
        <f t="shared" si="9"/>
        <v/>
      </c>
    </row>
    <row r="88" ht="17.25">
      <c r="A88" s="7" t="str">
        <f t="shared" si="8"/>
        <v xml:space="preserve">E-Team 14</v>
      </c>
      <c r="B88" s="1">
        <v>14</v>
      </c>
      <c r="C88" s="2"/>
      <c r="D88" s="2"/>
      <c r="E88" s="1" t="str">
        <f t="shared" si="9"/>
        <v/>
      </c>
    </row>
    <row r="89" ht="17.25">
      <c r="A89" s="7" t="str">
        <f t="shared" si="8"/>
        <v xml:space="preserve">E-Team 15</v>
      </c>
      <c r="B89" s="1">
        <v>15</v>
      </c>
      <c r="C89" s="2"/>
      <c r="D89" s="2"/>
      <c r="E89" s="1" t="str">
        <f t="shared" si="9"/>
        <v/>
      </c>
    </row>
    <row r="91">
      <c r="A91" s="1" t="s">
        <v>36</v>
      </c>
      <c r="B91" s="1" t="str">
        <f>Team6</f>
        <v>F-Team</v>
      </c>
    </row>
    <row r="92">
      <c r="C92" s="1" t="s">
        <v>39</v>
      </c>
      <c r="D92" s="1" t="s">
        <v>40</v>
      </c>
    </row>
    <row r="93" ht="17.25">
      <c r="A93" s="7" t="str">
        <f t="shared" ref="A93:A107" si="10">CONCATENATE(Team6," ",B93)</f>
        <v xml:space="preserve">F-Team 1</v>
      </c>
      <c r="B93" s="1">
        <v>1</v>
      </c>
      <c r="C93" s="2" t="s">
        <v>109</v>
      </c>
      <c r="D93" s="2" t="s">
        <v>110</v>
      </c>
      <c r="E93" s="1" t="str">
        <f t="shared" si="9"/>
        <v xml:space="preserve">Freddie Mercury</v>
      </c>
    </row>
    <row r="94" ht="17.25">
      <c r="A94" s="7" t="str">
        <f t="shared" si="10"/>
        <v xml:space="preserve">F-Team 2</v>
      </c>
      <c r="B94" s="1">
        <v>2</v>
      </c>
      <c r="C94" s="2" t="s">
        <v>111</v>
      </c>
      <c r="D94" s="2" t="s">
        <v>112</v>
      </c>
      <c r="E94" s="1" t="str">
        <f t="shared" si="9"/>
        <v xml:space="preserve">Frida Kahlo</v>
      </c>
    </row>
    <row r="95" ht="17.25">
      <c r="A95" s="7" t="str">
        <f t="shared" si="10"/>
        <v xml:space="preserve">F-Team 3</v>
      </c>
      <c r="B95" s="1">
        <v>3</v>
      </c>
      <c r="C95" s="2" t="s">
        <v>51</v>
      </c>
      <c r="D95" s="2" t="s">
        <v>113</v>
      </c>
      <c r="E95" s="1" t="str">
        <f t="shared" si="9"/>
        <v xml:space="preserve">Frank Sinatra</v>
      </c>
    </row>
    <row r="96" ht="17.25">
      <c r="A96" s="7" t="str">
        <f t="shared" si="10"/>
        <v xml:space="preserve">F-Team 4</v>
      </c>
      <c r="B96" s="1">
        <v>4</v>
      </c>
      <c r="C96" s="2" t="s">
        <v>114</v>
      </c>
      <c r="D96" s="2" t="s">
        <v>115</v>
      </c>
      <c r="E96" s="1" t="str">
        <f t="shared" si="9"/>
        <v xml:space="preserve">Friedrich Nietzsche</v>
      </c>
    </row>
    <row r="97" ht="17.25">
      <c r="A97" s="7" t="str">
        <f t="shared" si="10"/>
        <v xml:space="preserve">F-Team 5</v>
      </c>
      <c r="B97" s="1">
        <v>5</v>
      </c>
      <c r="C97" s="2" t="s">
        <v>116</v>
      </c>
      <c r="D97" s="2" t="s">
        <v>117</v>
      </c>
      <c r="E97" s="1" t="str">
        <f t="shared" si="9"/>
        <v xml:space="preserve">Franz Kafka</v>
      </c>
    </row>
    <row r="98" ht="17.25">
      <c r="A98" s="7" t="str">
        <f t="shared" si="10"/>
        <v xml:space="preserve">F-Team 6</v>
      </c>
      <c r="B98" s="1">
        <v>6</v>
      </c>
      <c r="C98" s="2" t="s">
        <v>118</v>
      </c>
      <c r="D98" s="2" t="s">
        <v>119</v>
      </c>
      <c r="E98" s="1" t="str">
        <f t="shared" si="9"/>
        <v xml:space="preserve">Felicitas Woll</v>
      </c>
    </row>
    <row r="99" ht="17.25">
      <c r="A99" s="7" t="str">
        <f t="shared" si="10"/>
        <v xml:space="preserve">F-Team 7</v>
      </c>
      <c r="B99" s="1">
        <v>7</v>
      </c>
      <c r="C99" s="2"/>
      <c r="D99" s="2"/>
      <c r="E99" s="1" t="str">
        <f t="shared" si="9"/>
        <v/>
      </c>
    </row>
    <row r="100" ht="17.25">
      <c r="A100" s="7" t="str">
        <f t="shared" si="10"/>
        <v xml:space="preserve">F-Team 8</v>
      </c>
      <c r="B100" s="1">
        <v>8</v>
      </c>
      <c r="C100" s="2"/>
      <c r="D100" s="2"/>
      <c r="E100" s="1" t="str">
        <f t="shared" si="9"/>
        <v/>
      </c>
    </row>
    <row r="101" ht="17.25">
      <c r="A101" s="7" t="str">
        <f t="shared" si="10"/>
        <v xml:space="preserve">F-Team 9</v>
      </c>
      <c r="B101" s="1">
        <v>9</v>
      </c>
      <c r="C101" s="2"/>
      <c r="D101" s="2"/>
      <c r="E101" s="1" t="str">
        <f t="shared" si="9"/>
        <v/>
      </c>
    </row>
    <row r="102" ht="17.25">
      <c r="A102" s="7" t="str">
        <f t="shared" si="10"/>
        <v xml:space="preserve">F-Team 10</v>
      </c>
      <c r="B102" s="1">
        <v>10</v>
      </c>
      <c r="C102" s="2"/>
      <c r="D102" s="2"/>
      <c r="E102" s="1" t="str">
        <f t="shared" si="9"/>
        <v/>
      </c>
    </row>
    <row r="103" ht="17.25">
      <c r="A103" s="7" t="str">
        <f t="shared" si="10"/>
        <v xml:space="preserve">F-Team 11</v>
      </c>
      <c r="B103" s="1">
        <v>11</v>
      </c>
      <c r="C103" s="2"/>
      <c r="D103" s="2"/>
      <c r="E103" s="1" t="str">
        <f t="shared" si="9"/>
        <v/>
      </c>
    </row>
    <row r="104" ht="17.25">
      <c r="A104" s="7" t="str">
        <f t="shared" si="10"/>
        <v xml:space="preserve">F-Team 12</v>
      </c>
      <c r="B104" s="1">
        <v>12</v>
      </c>
      <c r="C104" s="2"/>
      <c r="D104" s="2"/>
      <c r="E104" s="1" t="str">
        <f t="shared" si="9"/>
        <v/>
      </c>
    </row>
    <row r="105" ht="17.25">
      <c r="A105" s="7" t="str">
        <f t="shared" si="10"/>
        <v xml:space="preserve">F-Team 13</v>
      </c>
      <c r="B105" s="1">
        <v>13</v>
      </c>
      <c r="C105" s="2"/>
      <c r="D105" s="2"/>
      <c r="E105" s="1" t="str">
        <f t="shared" si="9"/>
        <v/>
      </c>
    </row>
    <row r="106" ht="17.25">
      <c r="A106" s="7" t="str">
        <f t="shared" si="10"/>
        <v xml:space="preserve">F-Team 14</v>
      </c>
      <c r="B106" s="1">
        <v>14</v>
      </c>
      <c r="C106" s="2"/>
      <c r="D106" s="2"/>
      <c r="E106" s="1" t="str">
        <f t="shared" si="9"/>
        <v/>
      </c>
    </row>
    <row r="107" ht="17.25">
      <c r="A107" s="7" t="str">
        <f t="shared" si="10"/>
        <v xml:space="preserve">F-Team 15</v>
      </c>
      <c r="B107" s="1">
        <v>15</v>
      </c>
      <c r="C107" s="2"/>
      <c r="D107" s="2"/>
      <c r="E107" s="1" t="str">
        <f t="shared" si="9"/>
        <v/>
      </c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69999999999999996" right="0.69999999999999996" top="0.78740157500000008" bottom="0.78740157500000008" header="0.29999999999999999" footer="0.29999999999999999"/>
  <pageSetup paperSize="9" scale="79" fitToWidth="1" fitToHeight="1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54" man="1" max="16383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view="pageBreakPreview" zoomScale="85" workbookViewId="0">
      <selection activeCell="D5" activeCellId="0" sqref="D5:H5"/>
    </sheetView>
  </sheetViews>
  <sheetFormatPr baseColWidth="10" defaultColWidth="11.42578125" defaultRowHeight="14.25"/>
  <cols>
    <col customWidth="1" min="1" max="1" style="8" width="11"/>
    <col customWidth="1" min="2" max="2" style="8" width="1.42578125"/>
    <col customWidth="1" min="3" max="3" style="8" width="5.7109375"/>
    <col customWidth="1" min="4" max="4" style="8" width="10.140625"/>
    <col customWidth="1" min="5" max="5" style="8" width="19.85546875"/>
    <col customWidth="1" min="6" max="6" style="8" width="5.7109375"/>
    <col customWidth="1" min="7" max="7" style="8" width="28.140625"/>
    <col customWidth="1" min="8" max="8" style="8" width="0.85546875"/>
    <col customWidth="1" min="9" max="20" style="8" width="7.85546875"/>
    <col customWidth="1" min="21" max="21" style="8" width="0.85546875"/>
    <col customWidth="1" min="22" max="23" style="8" width="7.85546875"/>
    <col min="24" max="24" style="8" width="11.42578125"/>
    <col customWidth="1" min="25" max="25" style="8" width="2.85546875"/>
    <col min="26" max="27" style="8" width="11.42578125"/>
    <col bestFit="1" customWidth="1" min="28" max="28" style="8" width="2.85546875"/>
    <col min="29" max="29" style="8" width="11.42578125"/>
    <col customWidth="1" min="30" max="30" style="8" width="111.42578125"/>
    <col min="31" max="16384" style="8" width="11.42578125"/>
  </cols>
  <sheetData>
    <row r="1" ht="21">
      <c r="A1" s="9" t="s">
        <v>120</v>
      </c>
      <c r="F1" s="10" t="str">
        <f>IF(V12&gt;V14,CONCATENATE("Achtung! Teamreihenfolge ",D5," nicht richtig! 1. und 2. Doppel tauschen."),IF(V14&gt;V16,CONCATENATE("Achtung! Teamreihenfolge ",D5," nicht richtig! 2. und 3. Doppel tauschen."),IF(AND(V18&gt;=V19,V19&gt;0),CONCATENATE("Achtung! Teamreihenfolge ",D5," nicht richtig! Beide Einzel tauschen."),IF(W12&gt;W14,CONCATENATE("Achtung! Teamreihenfolge ",D7," nicht richtig! 1. und 2. Doppel tauschen."),IF(W14&gt;W16,CONCATENATE("Achtung! Teamreihenfolge ",D7," nicht richtig! 2. und 3. Doppel tauschen."),IF(AND(W18&gt;=W19,W19&gt;0),CONCATENATE("Achtung! Teamreihenfolge ",D7," nicht richtig! Beide Einzel tauschen."),""))))))</f>
        <v/>
      </c>
      <c r="G1" s="10"/>
      <c r="H1" s="10"/>
      <c r="I1" s="10"/>
      <c r="J1" s="10"/>
      <c r="K1" s="10"/>
      <c r="L1" s="10"/>
      <c r="M1" s="10"/>
      <c r="N1" s="10"/>
    </row>
    <row r="2" s="11" customFormat="1" ht="26.25">
      <c r="A2" s="12" t="s">
        <v>121</v>
      </c>
      <c r="B2" s="12"/>
      <c r="C2" s="12"/>
      <c r="D2" s="12"/>
      <c r="E2" s="12"/>
      <c r="F2" s="10"/>
      <c r="G2" s="10"/>
      <c r="H2" s="10"/>
      <c r="I2" s="10"/>
      <c r="J2" s="10"/>
      <c r="K2" s="10"/>
      <c r="L2" s="10"/>
      <c r="M2" s="10"/>
      <c r="N2" s="10"/>
    </row>
    <row r="3" s="11" customFormat="1" ht="26.25">
      <c r="A3" s="13" t="s">
        <v>122</v>
      </c>
      <c r="B3" s="12"/>
      <c r="C3" s="12"/>
      <c r="D3" s="12"/>
      <c r="E3" s="12"/>
      <c r="F3" s="10"/>
      <c r="G3" s="10"/>
      <c r="H3" s="10"/>
      <c r="I3" s="10"/>
      <c r="J3" s="10"/>
      <c r="K3" s="10"/>
      <c r="L3" s="10"/>
      <c r="M3" s="10"/>
      <c r="N3" s="10"/>
    </row>
    <row r="4" s="14" customFormat="1" ht="15" customHeight="1">
      <c r="A4" s="15"/>
      <c r="M4" s="16"/>
      <c r="V4" s="14"/>
      <c r="W4" s="14"/>
      <c r="AD4" s="17"/>
    </row>
    <row r="5" s="11" customFormat="1" ht="21" customHeight="1">
      <c r="A5" s="18" t="s">
        <v>123</v>
      </c>
      <c r="B5" s="18"/>
      <c r="C5" s="18"/>
      <c r="D5" s="19"/>
      <c r="E5" s="19"/>
      <c r="F5" s="19"/>
      <c r="G5" s="19"/>
      <c r="H5" s="19"/>
      <c r="K5" s="20"/>
      <c r="L5" s="21" t="s">
        <v>124</v>
      </c>
      <c r="M5" s="22" t="str">
        <f>Gruppe</f>
        <v>II</v>
      </c>
      <c r="N5" s="20"/>
      <c r="O5" s="20"/>
      <c r="P5" s="20"/>
      <c r="Q5" s="20"/>
      <c r="R5" s="20"/>
      <c r="S5" s="20"/>
      <c r="T5" s="20"/>
      <c r="V5" s="11"/>
      <c r="W5" s="23"/>
      <c r="AD5" s="17"/>
    </row>
    <row r="6" s="14" customFormat="1" ht="21" customHeight="1">
      <c r="C6" s="24" t="s">
        <v>125</v>
      </c>
      <c r="L6" s="24" t="s">
        <v>126</v>
      </c>
      <c r="M6" s="16"/>
      <c r="N6" s="16"/>
      <c r="O6" s="16"/>
      <c r="P6" s="16"/>
      <c r="Q6" s="16"/>
      <c r="V6" s="23"/>
      <c r="W6" s="23"/>
      <c r="AD6" s="17"/>
    </row>
    <row r="7" s="11" customFormat="1" ht="21" customHeight="1">
      <c r="A7" s="18" t="s">
        <v>127</v>
      </c>
      <c r="B7" s="18"/>
      <c r="C7" s="18"/>
      <c r="D7" s="19"/>
      <c r="E7" s="19"/>
      <c r="F7" s="19"/>
      <c r="G7" s="19"/>
      <c r="H7" s="19"/>
      <c r="J7" s="18" t="s">
        <v>128</v>
      </c>
      <c r="K7" s="18"/>
      <c r="L7" s="18"/>
      <c r="M7" s="22" t="str">
        <f>Austragungsort</f>
        <v xml:space="preserve">Sporthalle Berlin</v>
      </c>
      <c r="N7" s="25"/>
      <c r="O7" s="25"/>
      <c r="P7" s="25"/>
      <c r="Q7" s="25"/>
      <c r="R7" s="20"/>
      <c r="S7" s="20"/>
      <c r="T7" s="20"/>
      <c r="V7" s="23"/>
      <c r="W7" s="23"/>
      <c r="Y7" s="26" t="s">
        <v>129</v>
      </c>
      <c r="Z7" s="27"/>
      <c r="AA7" s="28" t="s">
        <v>130</v>
      </c>
      <c r="AB7" s="27"/>
      <c r="AD7" s="29" t="s">
        <v>131</v>
      </c>
      <c r="AE7" s="17"/>
      <c r="AF7" s="17"/>
      <c r="AG7" s="17"/>
      <c r="AH7" s="17"/>
      <c r="AI7" s="17"/>
      <c r="AJ7" s="17"/>
      <c r="AK7" s="17"/>
      <c r="AL7" s="17"/>
      <c r="AM7" s="17"/>
    </row>
    <row r="8" s="11" customFormat="1" ht="21">
      <c r="A8" s="15"/>
      <c r="C8" s="24" t="s">
        <v>132</v>
      </c>
      <c r="L8" s="24" t="s">
        <v>133</v>
      </c>
      <c r="V8" s="23"/>
      <c r="W8" s="23"/>
      <c r="Y8" s="30">
        <v>1</v>
      </c>
      <c r="Z8" s="31" t="e">
        <f>VLOOKUP(CONCATENATE($D5," ",Y8),Setzlisten!$A:$E,5,0)</f>
        <v>#N/A</v>
      </c>
      <c r="AA8" s="30" t="e">
        <f>VLOOKUP(CONCATENATE($D7," ",Y8),Setzlisten!$A:$E,5,0)</f>
        <v>#N/A</v>
      </c>
      <c r="AB8" s="31">
        <v>1</v>
      </c>
      <c r="AD8" s="32" t="str">
        <f>CONCATENATE(A12,": ",D12," mit ",D13," - ",G12," mit ",G13,", ",I12,":",J12,", ",K12,":",L12,IF(M12="","",CONCATENATE(", ",M12,":",N12)),CHAR(10),A14,": ",D14," mit ",D15," - ",G14," mit ",G15,", ",I14,":",J14,", ",K14,":",L14,IF(M14="","",CONCATENATE(", ",M14,":",N14)),CHAR(10),A16,": ",D16," mit ",D17," - ",G16," mit ",G17,", ",I16,":",J16,", ",K16,":",L16,IF(M16="","",CONCATENATE(", ",M16,":",N16)),CHAR(10),A18,": ",D18," - ",G18,", ",I18,":",J18,", ",K18,":",L18,IF(M18="","",CONCATENATE(", ",M18,":",N18)),CHAR(10),A19,": ",D19," - ",G19,", ",I19,":",J19,", ",K19,":",L19,IF(M19="","",CONCATENATE(", ",M19,":",N19)))</f>
        <v xml:space="preserve">1. Doppel
1st Doubles:  mit  -  mit , :, :
2. Doppel
2nd Doubles:  mit  -  mit , :, :
3. Doppel
3rd Doubles:  mit  -  mit , :, :
1. Einzel
1st Singles:  - , :, :
2. Einzel
2nd Singles:  - , :, :</v>
      </c>
      <c r="AE8" s="17"/>
      <c r="AF8" s="17"/>
      <c r="AG8" s="17"/>
      <c r="AH8" s="17"/>
      <c r="AI8" s="17"/>
      <c r="AJ8" s="17"/>
      <c r="AK8" s="17"/>
      <c r="AL8" s="17"/>
      <c r="AM8" s="17"/>
    </row>
    <row r="9" s="11" customFormat="1" ht="26.25" customHeight="1">
      <c r="A9" s="33" t="s">
        <v>134</v>
      </c>
      <c r="B9" s="34"/>
      <c r="C9" s="35" t="s">
        <v>135</v>
      </c>
      <c r="D9" s="36" t="s">
        <v>136</v>
      </c>
      <c r="E9" s="37"/>
      <c r="F9" s="38" t="s">
        <v>135</v>
      </c>
      <c r="G9" s="39" t="s">
        <v>137</v>
      </c>
      <c r="H9" s="40"/>
      <c r="I9" s="41" t="s">
        <v>138</v>
      </c>
      <c r="J9" s="42"/>
      <c r="K9" s="41" t="s">
        <v>139</v>
      </c>
      <c r="L9" s="42"/>
      <c r="M9" s="43" t="s">
        <v>140</v>
      </c>
      <c r="N9" s="44"/>
      <c r="O9" s="45" t="s">
        <v>141</v>
      </c>
      <c r="P9" s="46"/>
      <c r="Q9" s="47" t="s">
        <v>142</v>
      </c>
      <c r="R9" s="48"/>
      <c r="S9" s="49" t="s">
        <v>143</v>
      </c>
      <c r="T9" s="50"/>
      <c r="V9" s="51" t="s">
        <v>144</v>
      </c>
      <c r="W9" s="52" t="s">
        <v>145</v>
      </c>
      <c r="Y9" s="30">
        <v>2</v>
      </c>
      <c r="Z9" s="31" t="e">
        <f>VLOOKUP(CONCATENATE($D5," ",Y9),Setzlisten!$A:$E,5,0)</f>
        <v>#N/A</v>
      </c>
      <c r="AA9" s="30" t="e">
        <f>VLOOKUP(CONCATENATE($D7," ",Y9),Setzlisten!$A:$E,5,0)</f>
        <v>#N/A</v>
      </c>
      <c r="AB9" s="31">
        <v>2</v>
      </c>
      <c r="AD9" s="32"/>
      <c r="AE9" s="17"/>
      <c r="AF9" s="17"/>
      <c r="AG9" s="17"/>
      <c r="AH9" s="17"/>
      <c r="AI9" s="17"/>
      <c r="AJ9" s="17"/>
      <c r="AK9" s="17"/>
      <c r="AL9" s="17"/>
      <c r="AM9" s="17"/>
    </row>
    <row r="10" s="11" customFormat="1" ht="29.25" customHeight="1">
      <c r="A10" s="53">
        <f>Allgemeines!G2</f>
        <v>0.375</v>
      </c>
      <c r="B10" s="34"/>
      <c r="C10" s="54"/>
      <c r="D10" s="55"/>
      <c r="E10" s="56"/>
      <c r="F10" s="57"/>
      <c r="G10" s="58"/>
      <c r="H10" s="40"/>
      <c r="I10" s="59"/>
      <c r="J10" s="60"/>
      <c r="K10" s="59"/>
      <c r="L10" s="60"/>
      <c r="M10" s="61"/>
      <c r="N10" s="62"/>
      <c r="O10" s="63" t="s">
        <v>146</v>
      </c>
      <c r="P10" s="64" t="s">
        <v>147</v>
      </c>
      <c r="Q10" s="65" t="s">
        <v>146</v>
      </c>
      <c r="R10" s="66" t="s">
        <v>147</v>
      </c>
      <c r="S10" s="64" t="s">
        <v>146</v>
      </c>
      <c r="T10" s="67" t="s">
        <v>147</v>
      </c>
      <c r="V10" s="68"/>
      <c r="W10" s="69"/>
      <c r="Y10" s="30">
        <v>3</v>
      </c>
      <c r="Z10" s="31" t="e">
        <f>VLOOKUP(CONCATENATE($D5," ",Y10),Setzlisten!$A:$E,5,0)</f>
        <v>#N/A</v>
      </c>
      <c r="AA10" s="30" t="e">
        <f>VLOOKUP(CONCATENATE($D7," ",Y10),Setzlisten!$A:$E,5,0)</f>
        <v>#N/A</v>
      </c>
      <c r="AB10" s="31">
        <v>3</v>
      </c>
      <c r="AD10" s="32"/>
      <c r="AE10" s="17"/>
      <c r="AF10" s="17"/>
      <c r="AG10" s="17"/>
      <c r="AH10" s="17"/>
      <c r="AI10" s="17"/>
      <c r="AJ10" s="17"/>
      <c r="AK10" s="17"/>
      <c r="AL10" s="17"/>
      <c r="AM10" s="17"/>
    </row>
    <row r="11" s="70" customFormat="1" ht="9">
      <c r="V11" s="30"/>
      <c r="W11" s="31"/>
      <c r="Y11" s="30">
        <v>4</v>
      </c>
      <c r="Z11" s="31" t="e">
        <f>VLOOKUP(CONCATENATE($D5," ",Y11),Setzlisten!$A:$E,5,0)</f>
        <v>#N/A</v>
      </c>
      <c r="AA11" s="30" t="e">
        <f>VLOOKUP(CONCATENATE($D7," ",Y11),Setzlisten!$A:$E,5,0)</f>
        <v>#N/A</v>
      </c>
      <c r="AB11" s="31">
        <v>4</v>
      </c>
      <c r="AD11" s="32"/>
    </row>
    <row r="12" s="11" customFormat="1" ht="24" customHeight="1">
      <c r="A12" s="71" t="s">
        <v>148</v>
      </c>
      <c r="C12" s="72">
        <f>IF(D12="",0,VLOOKUP(D12,$Z8:$AB22,3,0))</f>
        <v>0</v>
      </c>
      <c r="D12" s="73"/>
      <c r="E12" s="74"/>
      <c r="F12" s="75">
        <f>IF(G12="",0,VLOOKUP(G12,$AA8:$AB22,2,0))</f>
        <v>0</v>
      </c>
      <c r="G12" s="76"/>
      <c r="I12" s="77"/>
      <c r="J12" s="78"/>
      <c r="K12" s="77"/>
      <c r="L12" s="78"/>
      <c r="M12" s="77"/>
      <c r="N12" s="79"/>
      <c r="O12" s="80" t="str">
        <f>IF(I12="","",SUM(I12,K12,M12))</f>
        <v/>
      </c>
      <c r="P12" s="81" t="str">
        <f>IF(J12="","",SUM(J12,L12,N12))</f>
        <v/>
      </c>
      <c r="Q12" s="82" t="str">
        <f>IF(I12="","",IF(I12&gt;J12,1,0)+IF(K12&gt;L12,1,0)+IF(M12="",0,IF(M12&gt;N12,1,0)))</f>
        <v/>
      </c>
      <c r="R12" s="83" t="str">
        <f>IF(I12="","",IF(J12&gt;I12,1,0)+IF(L12&gt;K12,1,0)+IF(M12="",0,IF(N12&gt;M12,1,0)))</f>
        <v/>
      </c>
      <c r="S12" s="84" t="str">
        <f>IF(I12="","",IF(Q12&gt;R12,1,0))</f>
        <v/>
      </c>
      <c r="T12" s="85" t="str">
        <f>IF(I12="","",IF(R12&gt;Q12,1,0))</f>
        <v/>
      </c>
      <c r="V12" s="86">
        <f>C12+C13</f>
        <v>0</v>
      </c>
      <c r="W12" s="87">
        <f>F12+F13</f>
        <v>0</v>
      </c>
      <c r="Y12" s="30">
        <v>5</v>
      </c>
      <c r="Z12" s="31" t="e">
        <f>VLOOKUP(CONCATENATE($D5," ",Y12),Setzlisten!$A:$E,5,0)</f>
        <v>#N/A</v>
      </c>
      <c r="AA12" s="30" t="e">
        <f>VLOOKUP(CONCATENATE($D7," ",Y12),Setzlisten!$A:$E,5,0)</f>
        <v>#N/A</v>
      </c>
      <c r="AB12" s="31">
        <v>5</v>
      </c>
      <c r="AD12" s="32"/>
    </row>
    <row r="13" s="11" customFormat="1" ht="24" customHeight="1">
      <c r="A13" s="88"/>
      <c r="C13" s="89">
        <f>IF(D13="",0,VLOOKUP(D13,$Z8:$AB22,3,0))</f>
        <v>0</v>
      </c>
      <c r="D13" s="90"/>
      <c r="E13" s="91"/>
      <c r="F13" s="92">
        <f>IF(G13="",0,VLOOKUP(G13,$AA8:$AB22,2,0))</f>
        <v>0</v>
      </c>
      <c r="G13" s="93"/>
      <c r="I13" s="77"/>
      <c r="J13" s="78"/>
      <c r="K13" s="77"/>
      <c r="L13" s="78"/>
      <c r="M13" s="77"/>
      <c r="N13" s="79"/>
      <c r="O13" s="92"/>
      <c r="P13" s="94"/>
      <c r="Q13" s="89"/>
      <c r="R13" s="95"/>
      <c r="S13" s="96"/>
      <c r="T13" s="97"/>
      <c r="V13" s="98"/>
      <c r="W13" s="99"/>
      <c r="Y13" s="30">
        <v>6</v>
      </c>
      <c r="Z13" s="31" t="e">
        <f>VLOOKUP(CONCATENATE($D5," ",Y13),Setzlisten!$A:$E,5,0)</f>
        <v>#N/A</v>
      </c>
      <c r="AA13" s="30" t="e">
        <f>VLOOKUP(CONCATENATE($D7," ",Y13),Setzlisten!$A:$E,5,0)</f>
        <v>#N/A</v>
      </c>
      <c r="AB13" s="31">
        <v>6</v>
      </c>
      <c r="AD13" s="32"/>
    </row>
    <row r="14" s="11" customFormat="1" ht="24" customHeight="1">
      <c r="A14" s="71" t="s">
        <v>149</v>
      </c>
      <c r="C14" s="72">
        <f>IF(D14="",0,VLOOKUP(D14,$Z8:$AB22,3,0))</f>
        <v>0</v>
      </c>
      <c r="D14" s="73"/>
      <c r="E14" s="74"/>
      <c r="F14" s="75">
        <f>IF(G14="",0,VLOOKUP(G14,$AA8:$AB22,2,0))</f>
        <v>0</v>
      </c>
      <c r="G14" s="76"/>
      <c r="I14" s="77"/>
      <c r="J14" s="100"/>
      <c r="K14" s="77"/>
      <c r="L14" s="78"/>
      <c r="M14" s="77"/>
      <c r="N14" s="79"/>
      <c r="O14" s="80" t="str">
        <f>IF(I14="","",SUM(I14,K14,M14))</f>
        <v/>
      </c>
      <c r="P14" s="81" t="str">
        <f t="shared" ref="P14:P19" si="11">IF(J14="","",SUM(J14,L14,N14))</f>
        <v/>
      </c>
      <c r="Q14" s="82" t="str">
        <f t="shared" ref="Q14:Q19" si="12">IF(I14="","",IF(I14&gt;J14,1,0)+IF(K14&gt;L14,1,0)+IF(M14="",0,IF(M14&gt;N14,1,0)))</f>
        <v/>
      </c>
      <c r="R14" s="83" t="str">
        <f t="shared" ref="R14:R19" si="13">IF(I14="","",IF(J14&gt;I14,1,0)+IF(L14&gt;K14,1,0)+IF(M14="",0,IF(N14&gt;M14,1,0)))</f>
        <v/>
      </c>
      <c r="S14" s="84" t="str">
        <f t="shared" ref="S14:S19" si="14">IF(I14="","",IF(Q14&gt;R14,1,0))</f>
        <v/>
      </c>
      <c r="T14" s="85" t="str">
        <f t="shared" ref="T14:T19" si="15">IF(I14="","",IF(R14&gt;Q14,1,0))</f>
        <v/>
      </c>
      <c r="V14" s="98">
        <f>C14+C15</f>
        <v>0</v>
      </c>
      <c r="W14" s="99">
        <f>F14+F15</f>
        <v>0</v>
      </c>
      <c r="Y14" s="30">
        <v>7</v>
      </c>
      <c r="Z14" s="31" t="e">
        <f>VLOOKUP(CONCATENATE($D5," ",Y14),Setzlisten!$A:$E,5,0)</f>
        <v>#N/A</v>
      </c>
      <c r="AA14" s="30" t="e">
        <f>VLOOKUP(CONCATENATE($D7," ",Y14),Setzlisten!$A:$E,5,0)</f>
        <v>#N/A</v>
      </c>
      <c r="AB14" s="31">
        <v>7</v>
      </c>
      <c r="AD14" s="101" t="s">
        <v>150</v>
      </c>
    </row>
    <row r="15" s="11" customFormat="1" ht="24" customHeight="1">
      <c r="A15" s="88"/>
      <c r="C15" s="89">
        <f>IF(D15="",0,VLOOKUP(D15,$Z8:$AB22,3,0))</f>
        <v>0</v>
      </c>
      <c r="D15" s="90"/>
      <c r="E15" s="91"/>
      <c r="F15" s="92">
        <f>IF(G15="",0,VLOOKUP(G15,$AA8:$AB22,2,0))</f>
        <v>0</v>
      </c>
      <c r="G15" s="93"/>
      <c r="I15" s="77"/>
      <c r="J15" s="78"/>
      <c r="K15" s="77"/>
      <c r="L15" s="78"/>
      <c r="M15" s="77"/>
      <c r="N15" s="79"/>
      <c r="O15" s="92"/>
      <c r="P15" s="94"/>
      <c r="Q15" s="89"/>
      <c r="R15" s="95"/>
      <c r="S15" s="96"/>
      <c r="T15" s="97"/>
      <c r="V15" s="98"/>
      <c r="W15" s="99"/>
      <c r="Y15" s="30">
        <v>8</v>
      </c>
      <c r="Z15" s="31" t="e">
        <f>VLOOKUP(CONCATENATE($D5," ",Y15),Setzlisten!$A:$E,5,0)</f>
        <v>#N/A</v>
      </c>
      <c r="AA15" s="30" t="e">
        <f>VLOOKUP(CONCATENATE($D7," ",Y15),Setzlisten!$A:$E,5,0)</f>
        <v>#N/A</v>
      </c>
      <c r="AB15" s="31">
        <v>8</v>
      </c>
      <c r="AD15" s="101"/>
    </row>
    <row r="16" s="11" customFormat="1" ht="24" customHeight="1">
      <c r="A16" s="71" t="s">
        <v>151</v>
      </c>
      <c r="C16" s="72">
        <f>IF(D16="",0,VLOOKUP(D16,$Z8:$AB22,3,0))</f>
        <v>0</v>
      </c>
      <c r="D16" s="73"/>
      <c r="E16" s="74"/>
      <c r="F16" s="75">
        <f>IF(G16="",0,VLOOKUP(G16,$AA8:$AB22,2,0))</f>
        <v>0</v>
      </c>
      <c r="G16" s="76"/>
      <c r="I16" s="77"/>
      <c r="J16" s="78"/>
      <c r="K16" s="77"/>
      <c r="L16" s="78"/>
      <c r="M16" s="77"/>
      <c r="N16" s="79"/>
      <c r="O16" s="80" t="str">
        <f>IF(I16="","",SUM(I16,K16,M16))</f>
        <v/>
      </c>
      <c r="P16" s="81" t="str">
        <f t="shared" si="11"/>
        <v/>
      </c>
      <c r="Q16" s="82" t="str">
        <f t="shared" si="12"/>
        <v/>
      </c>
      <c r="R16" s="83" t="str">
        <f t="shared" si="13"/>
        <v/>
      </c>
      <c r="S16" s="84" t="str">
        <f t="shared" si="14"/>
        <v/>
      </c>
      <c r="T16" s="85" t="str">
        <f t="shared" si="15"/>
        <v/>
      </c>
      <c r="V16" s="98">
        <f>C16+C17</f>
        <v>0</v>
      </c>
      <c r="W16" s="99">
        <f>F16+F17</f>
        <v>0</v>
      </c>
      <c r="Y16" s="30">
        <v>9</v>
      </c>
      <c r="Z16" s="31" t="e">
        <f>VLOOKUP(CONCATENATE($D5," ",Y16),Setzlisten!$A:$E,5,0)</f>
        <v>#N/A</v>
      </c>
      <c r="AA16" s="30" t="e">
        <f>VLOOKUP(CONCATENATE($D7," ",Y16),Setzlisten!$A:$E,5,0)</f>
        <v>#N/A</v>
      </c>
      <c r="AB16" s="31">
        <v>9</v>
      </c>
      <c r="AD16" s="32"/>
    </row>
    <row r="17" s="11" customFormat="1" ht="24" customHeight="1">
      <c r="A17" s="88"/>
      <c r="C17" s="89">
        <f>IF(D17="",0,VLOOKUP(D17,$Z8:$AB22,3,0))</f>
        <v>0</v>
      </c>
      <c r="D17" s="90"/>
      <c r="E17" s="91"/>
      <c r="F17" s="92">
        <f>IF(G17="",0,VLOOKUP(G17,$AA8:$AB22,2,0))</f>
        <v>0</v>
      </c>
      <c r="G17" s="93"/>
      <c r="I17" s="77"/>
      <c r="J17" s="78"/>
      <c r="K17" s="77"/>
      <c r="L17" s="78"/>
      <c r="M17" s="77"/>
      <c r="N17" s="79"/>
      <c r="O17" s="92"/>
      <c r="P17" s="94"/>
      <c r="Q17" s="89"/>
      <c r="R17" s="95"/>
      <c r="S17" s="96"/>
      <c r="T17" s="97"/>
      <c r="V17" s="102"/>
      <c r="W17" s="103"/>
      <c r="Y17" s="30">
        <v>10</v>
      </c>
      <c r="Z17" s="31" t="e">
        <f>VLOOKUP(CONCATENATE($D5," ",Y17),Setzlisten!$A:$E,5,0)</f>
        <v>#N/A</v>
      </c>
      <c r="AA17" s="30" t="e">
        <f>VLOOKUP(CONCATENATE($D7," ",Y17),Setzlisten!$A:$E,5,0)</f>
        <v>#N/A</v>
      </c>
      <c r="AB17" s="31">
        <v>10</v>
      </c>
      <c r="AD17" s="32"/>
    </row>
    <row r="18" s="11" customFormat="1" ht="30" customHeight="1">
      <c r="A18" s="71" t="s">
        <v>152</v>
      </c>
      <c r="B18" s="104"/>
      <c r="C18" s="105">
        <f>IF(D18="",0,VLOOKUP(D18,$Z8:$AB22,3,0))</f>
        <v>0</v>
      </c>
      <c r="D18" s="106"/>
      <c r="E18" s="107"/>
      <c r="F18" s="108">
        <f>IF(G18="",0,VLOOKUP(G18,$AA8:$AB22,2,0))</f>
        <v>0</v>
      </c>
      <c r="G18" s="109"/>
      <c r="I18" s="77"/>
      <c r="J18" s="78"/>
      <c r="K18" s="77"/>
      <c r="L18" s="78"/>
      <c r="M18" s="77"/>
      <c r="N18" s="79"/>
      <c r="O18" s="108" t="str">
        <f t="shared" ref="O18:O19" si="16">IF(I18="","",SUM(I18,K18,M18))</f>
        <v/>
      </c>
      <c r="P18" s="110" t="str">
        <f t="shared" si="11"/>
        <v/>
      </c>
      <c r="Q18" s="105" t="str">
        <f t="shared" si="12"/>
        <v/>
      </c>
      <c r="R18" s="111" t="str">
        <f t="shared" si="13"/>
        <v/>
      </c>
      <c r="S18" s="112" t="str">
        <f t="shared" si="14"/>
        <v/>
      </c>
      <c r="T18" s="113" t="str">
        <f t="shared" si="15"/>
        <v/>
      </c>
      <c r="V18" s="98">
        <f t="shared" ref="V18:V19" si="17">C18</f>
        <v>0</v>
      </c>
      <c r="W18" s="99">
        <f t="shared" ref="W18:W19" si="18">F18</f>
        <v>0</v>
      </c>
      <c r="Y18" s="30">
        <v>11</v>
      </c>
      <c r="Z18" s="31" t="e">
        <f>VLOOKUP(CONCATENATE($D5," ",Y18),Setzlisten!$A:$E,5,0)</f>
        <v>#N/A</v>
      </c>
      <c r="AA18" s="30" t="e">
        <f>VLOOKUP(CONCATENATE($D7," ",Y18),Setzlisten!$A:$E,5,0)</f>
        <v>#N/A</v>
      </c>
      <c r="AB18" s="31">
        <v>11</v>
      </c>
      <c r="AD18" s="32"/>
    </row>
    <row r="19" s="11" customFormat="1" ht="30" customHeight="1">
      <c r="A19" s="71" t="s">
        <v>153</v>
      </c>
      <c r="B19" s="104"/>
      <c r="C19" s="105">
        <f>IF(D19="",0,VLOOKUP(D19,$Z8:$AB22,3,0))</f>
        <v>0</v>
      </c>
      <c r="D19" s="106"/>
      <c r="E19" s="107"/>
      <c r="F19" s="108">
        <f>IF(G19="",0,VLOOKUP(G19,$AA8:$AB22,2,0))</f>
        <v>0</v>
      </c>
      <c r="G19" s="109"/>
      <c r="I19" s="77"/>
      <c r="J19" s="78"/>
      <c r="K19" s="77"/>
      <c r="L19" s="78"/>
      <c r="M19" s="77"/>
      <c r="N19" s="79"/>
      <c r="O19" s="108" t="str">
        <f t="shared" si="16"/>
        <v/>
      </c>
      <c r="P19" s="110" t="str">
        <f t="shared" si="11"/>
        <v/>
      </c>
      <c r="Q19" s="105" t="str">
        <f t="shared" si="12"/>
        <v/>
      </c>
      <c r="R19" s="111" t="str">
        <f t="shared" si="13"/>
        <v/>
      </c>
      <c r="S19" s="112" t="str">
        <f t="shared" si="14"/>
        <v/>
      </c>
      <c r="T19" s="113" t="str">
        <f t="shared" si="15"/>
        <v/>
      </c>
      <c r="V19" s="102">
        <f t="shared" si="17"/>
        <v>0</v>
      </c>
      <c r="W19" s="103">
        <f t="shared" si="18"/>
        <v>0</v>
      </c>
      <c r="Y19" s="30">
        <v>12</v>
      </c>
      <c r="Z19" s="31" t="e">
        <f>VLOOKUP(CONCATENATE($D5," ",Y19),Setzlisten!$A:$E,5,0)</f>
        <v>#N/A</v>
      </c>
      <c r="AA19" s="30" t="e">
        <f>VLOOKUP(CONCATENATE($D7," ",Y19),Setzlisten!$A:$E,5,0)</f>
        <v>#N/A</v>
      </c>
      <c r="AB19" s="31">
        <v>12</v>
      </c>
      <c r="AD19" s="32"/>
    </row>
    <row r="20" s="70" customFormat="1" ht="9">
      <c r="Y20" s="30">
        <v>13</v>
      </c>
      <c r="Z20" s="31" t="e">
        <f>VLOOKUP(CONCATENATE($D5," ",Y20),Setzlisten!$A:$E,5,0)</f>
        <v>#N/A</v>
      </c>
      <c r="AA20" s="30" t="e">
        <f>VLOOKUP(CONCATENATE($D7," ",Y20),Setzlisten!$A:$E,5,0)</f>
        <v>#N/A</v>
      </c>
      <c r="AB20" s="31">
        <v>13</v>
      </c>
      <c r="AD20" s="32"/>
    </row>
    <row r="21" s="11" customFormat="1" ht="16.5">
      <c r="A21" s="114" t="s">
        <v>154</v>
      </c>
      <c r="B21" s="34"/>
      <c r="C21" s="115" t="s">
        <v>155</v>
      </c>
      <c r="D21" s="116"/>
      <c r="E21" s="117" t="str">
        <f>IF(S21="","",IF(S21&gt;T21,D5,D7))</f>
        <v/>
      </c>
      <c r="F21" s="118"/>
      <c r="G21" s="119"/>
      <c r="I21" s="115" t="s">
        <v>156</v>
      </c>
      <c r="J21" s="120"/>
      <c r="K21" s="120"/>
      <c r="L21" s="120"/>
      <c r="M21" s="120"/>
      <c r="N21" s="116"/>
      <c r="O21" s="82" t="str">
        <f t="shared" ref="O21:T21" si="19">IF(O12="","",SUM(O12:O19))</f>
        <v/>
      </c>
      <c r="P21" s="121" t="str">
        <f t="shared" si="19"/>
        <v/>
      </c>
      <c r="Q21" s="82" t="str">
        <f t="shared" si="19"/>
        <v/>
      </c>
      <c r="R21" s="121" t="str">
        <f t="shared" si="19"/>
        <v/>
      </c>
      <c r="S21" s="82" t="str">
        <f t="shared" si="19"/>
        <v/>
      </c>
      <c r="T21" s="122" t="str">
        <f t="shared" si="19"/>
        <v/>
      </c>
      <c r="Y21" s="30">
        <v>14</v>
      </c>
      <c r="Z21" s="31" t="e">
        <f>VLOOKUP(CONCATENATE($D5," ",Y21),Setzlisten!$A:$E,5,0)</f>
        <v>#N/A</v>
      </c>
      <c r="AA21" s="30" t="e">
        <f>VLOOKUP(CONCATENATE($D7," ",Y21),Setzlisten!$A:$E,5,0)</f>
        <v>#N/A</v>
      </c>
      <c r="AB21" s="31">
        <v>14</v>
      </c>
      <c r="AD21" s="32"/>
    </row>
    <row r="22" s="11" customFormat="1" ht="24">
      <c r="A22" s="53">
        <f>Allgemeines!H2</f>
        <v>0.4375</v>
      </c>
      <c r="B22" s="34"/>
      <c r="C22" s="123"/>
      <c r="D22" s="124"/>
      <c r="E22" s="125"/>
      <c r="F22" s="126"/>
      <c r="G22" s="127"/>
      <c r="I22" s="123"/>
      <c r="J22" s="128"/>
      <c r="K22" s="128"/>
      <c r="L22" s="128"/>
      <c r="M22" s="128"/>
      <c r="N22" s="124"/>
      <c r="O22" s="129"/>
      <c r="P22" s="130"/>
      <c r="Q22" s="129"/>
      <c r="R22" s="130"/>
      <c r="S22" s="129"/>
      <c r="T22" s="131"/>
      <c r="Y22" s="132">
        <v>15</v>
      </c>
      <c r="Z22" s="133" t="e">
        <f>VLOOKUP(CONCATENATE($D5," ",Y22),Setzlisten!$A:$E,5,0)</f>
        <v>#N/A</v>
      </c>
      <c r="AA22" s="132" t="e">
        <f>VLOOKUP(CONCATENATE($D7," ",Y22),Setzlisten!$A:$E,5,0)</f>
        <v>#N/A</v>
      </c>
      <c r="AB22" s="133">
        <v>15</v>
      </c>
    </row>
    <row r="23" s="11" customFormat="1" ht="15" customHeight="1">
      <c r="A23" s="15"/>
    </row>
    <row r="24" s="11" customFormat="1" ht="30" customHeight="1">
      <c r="B24" s="21"/>
      <c r="C24" s="21"/>
      <c r="D24" s="134" t="s">
        <v>157</v>
      </c>
      <c r="E24" s="134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</row>
    <row r="25" s="11" customFormat="1">
      <c r="A25" s="14"/>
      <c r="P25" s="136"/>
      <c r="Q25" s="136"/>
      <c r="R25" s="136"/>
      <c r="S25" s="136"/>
      <c r="T25" s="136"/>
    </row>
    <row r="26" s="11" customFormat="1" ht="30" customHeight="1">
      <c r="A26" s="137" t="s">
        <v>158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</row>
    <row r="27" s="11" customFormat="1" ht="36" customHeight="1">
      <c r="A27" s="139" t="str">
        <f>Allgemeines!$B$3</f>
        <v>Hamburg</v>
      </c>
      <c r="B27" s="139"/>
      <c r="C27" s="139"/>
      <c r="D27" s="139"/>
      <c r="E27" s="140">
        <f>Allgemeines!$B$4</f>
        <v>46023</v>
      </c>
      <c r="G27" s="141"/>
      <c r="J27" s="141"/>
      <c r="K27" s="141"/>
      <c r="L27" s="141"/>
      <c r="M27" s="141"/>
      <c r="N27" s="141"/>
      <c r="P27" s="141"/>
      <c r="Q27" s="141"/>
      <c r="R27" s="141"/>
      <c r="S27" s="141"/>
      <c r="T27" s="141"/>
    </row>
    <row r="28" s="11" customFormat="1">
      <c r="A28" s="142"/>
      <c r="B28" s="142"/>
      <c r="C28" s="142"/>
      <c r="D28" s="142"/>
      <c r="E28" s="143"/>
      <c r="G28" s="144"/>
      <c r="J28" s="144"/>
      <c r="K28" s="144"/>
      <c r="L28" s="144"/>
      <c r="M28" s="144"/>
      <c r="N28" s="144"/>
      <c r="P28" s="144"/>
      <c r="Q28" s="144"/>
      <c r="R28" s="144"/>
      <c r="S28" s="144"/>
      <c r="T28" s="144"/>
    </row>
    <row r="29" s="11" customFormat="1" ht="16.5">
      <c r="A29" s="145" t="s">
        <v>159</v>
      </c>
      <c r="B29" s="145"/>
      <c r="C29" s="145"/>
      <c r="D29" s="145"/>
      <c r="E29" s="145" t="s">
        <v>160</v>
      </c>
      <c r="F29" s="40"/>
      <c r="G29" s="145" t="s">
        <v>2</v>
      </c>
      <c r="H29" s="40"/>
      <c r="I29" s="40"/>
      <c r="J29" s="146" t="s">
        <v>161</v>
      </c>
      <c r="K29" s="146"/>
      <c r="L29" s="146"/>
      <c r="M29" s="146"/>
      <c r="N29" s="146"/>
      <c r="O29" s="40"/>
      <c r="P29" s="146" t="s">
        <v>162</v>
      </c>
      <c r="Q29" s="146"/>
      <c r="R29" s="146"/>
      <c r="S29" s="146"/>
      <c r="T29" s="146"/>
    </row>
    <row r="30">
      <c r="G30" s="147" t="s">
        <v>163</v>
      </c>
      <c r="J30" s="147" t="s">
        <v>164</v>
      </c>
      <c r="K30" s="147"/>
      <c r="L30" s="147"/>
      <c r="M30" s="147"/>
      <c r="N30" s="147"/>
      <c r="P30" s="147" t="s">
        <v>165</v>
      </c>
      <c r="Q30" s="147"/>
      <c r="R30" s="147"/>
      <c r="S30" s="147"/>
      <c r="T30" s="147"/>
    </row>
    <row r="31">
      <c r="G31" s="141" t="str">
        <f>Allgemeines!$D$2</f>
        <v xml:space="preserve">George Washington</v>
      </c>
      <c r="J31" s="141" t="str">
        <f>IF(D5="","",VLOOKUP(D5,Allgemeines!$B$7:$D$12,3,0))</f>
        <v/>
      </c>
      <c r="K31" s="141"/>
      <c r="L31" s="141"/>
      <c r="M31" s="141"/>
      <c r="N31" s="141"/>
      <c r="P31" s="141" t="str">
        <f>IF(D7="","",VLOOKUP(D7,Allgemeines!$B$7:$D$12,3,0))</f>
        <v/>
      </c>
      <c r="Q31" s="141"/>
      <c r="R31" s="141"/>
      <c r="S31" s="141"/>
      <c r="T31" s="141"/>
    </row>
    <row r="32" ht="21">
      <c r="A32" s="9" t="s">
        <v>120</v>
      </c>
      <c r="F32" s="10" t="str">
        <f>IF(V43&gt;V45,CONCATENATE("Achtung! Teamreihenfolge ",D36," nicht richtig! 1. und 2. Doppel tauschen."),IF(V45&gt;V47,CONCATENATE("Achtung! Teamreihenfolge ",D36," nicht richtig! 2. und 3. Doppel tauschen."),IF(AND(V49&gt;=V50,V50&gt;0),CONCATENATE("Achtung! Teamreihenfolge ",D36," nicht richtig! Beide Einzel tauschen."),IF(W43&gt;W45,CONCATENATE("Achtung! Teamreihenfolge ",D38," nicht richtig! 1. und 2. Doppel tauschen."),IF(W45&gt;W47,CONCATENATE("Achtung! Teamreihenfolge ",D38," nicht richtig! 2. und 3. Doppel tauschen."),IF(AND(W49&gt;=W50,W50&gt;0),CONCATENATE("Achtung! Teamreihenfolge ",D38," nicht richtig! Beide Einzel tauschen."),""))))))</f>
        <v/>
      </c>
      <c r="G32" s="10"/>
      <c r="H32" s="10"/>
      <c r="I32" s="10"/>
      <c r="J32" s="10"/>
      <c r="K32" s="10"/>
      <c r="L32" s="10"/>
      <c r="M32" s="10"/>
      <c r="N32" s="10"/>
    </row>
    <row r="33" s="11" customFormat="1" ht="26.25">
      <c r="A33" s="12" t="s">
        <v>121</v>
      </c>
      <c r="B33" s="12"/>
      <c r="C33" s="12"/>
      <c r="D33" s="12"/>
      <c r="E33" s="12"/>
      <c r="F33" s="10"/>
      <c r="G33" s="10"/>
      <c r="H33" s="10"/>
      <c r="I33" s="10"/>
      <c r="J33" s="10"/>
      <c r="K33" s="10"/>
      <c r="L33" s="10"/>
      <c r="M33" s="10"/>
      <c r="N33" s="10"/>
    </row>
    <row r="34" s="11" customFormat="1" ht="26.25">
      <c r="A34" s="13" t="s">
        <v>122</v>
      </c>
      <c r="B34" s="12"/>
      <c r="C34" s="12"/>
      <c r="D34" s="12"/>
      <c r="E34" s="12"/>
      <c r="F34" s="10"/>
      <c r="G34" s="10"/>
      <c r="H34" s="10"/>
      <c r="I34" s="10"/>
      <c r="J34" s="10"/>
      <c r="K34" s="10"/>
      <c r="L34" s="10"/>
      <c r="M34" s="10"/>
      <c r="N34" s="10"/>
    </row>
    <row r="35" s="14" customFormat="1" ht="15" customHeight="1">
      <c r="A35" s="15"/>
      <c r="M35" s="16"/>
      <c r="V35" s="14"/>
      <c r="W35" s="14"/>
      <c r="AD35" s="17"/>
    </row>
    <row r="36" s="11" customFormat="1" ht="21" customHeight="1">
      <c r="A36" s="18" t="s">
        <v>123</v>
      </c>
      <c r="B36" s="18"/>
      <c r="C36" s="18"/>
      <c r="D36" s="19"/>
      <c r="E36" s="19"/>
      <c r="F36" s="19"/>
      <c r="G36" s="19"/>
      <c r="H36" s="19"/>
      <c r="K36" s="20"/>
      <c r="L36" s="21" t="s">
        <v>124</v>
      </c>
      <c r="M36" s="22" t="str">
        <f>Gruppe</f>
        <v>II</v>
      </c>
      <c r="N36" s="20"/>
      <c r="O36" s="20"/>
      <c r="P36" s="20"/>
      <c r="Q36" s="20"/>
      <c r="R36" s="20"/>
      <c r="S36" s="20"/>
      <c r="T36" s="20"/>
      <c r="V36" s="11"/>
      <c r="W36" s="23"/>
      <c r="AD36" s="17"/>
    </row>
    <row r="37" s="14" customFormat="1" ht="21" customHeight="1">
      <c r="C37" s="24" t="s">
        <v>125</v>
      </c>
      <c r="L37" s="24" t="s">
        <v>126</v>
      </c>
      <c r="M37" s="16"/>
      <c r="N37" s="16"/>
      <c r="O37" s="16"/>
      <c r="P37" s="16"/>
      <c r="Q37" s="16"/>
      <c r="V37" s="23"/>
      <c r="W37" s="23"/>
      <c r="AD37" s="17"/>
    </row>
    <row r="38" s="11" customFormat="1" ht="21" customHeight="1">
      <c r="A38" s="18" t="s">
        <v>127</v>
      </c>
      <c r="B38" s="18"/>
      <c r="C38" s="18"/>
      <c r="D38" s="19"/>
      <c r="E38" s="19"/>
      <c r="F38" s="19"/>
      <c r="G38" s="19"/>
      <c r="H38" s="19"/>
      <c r="J38" s="18" t="s">
        <v>128</v>
      </c>
      <c r="K38" s="18"/>
      <c r="L38" s="18"/>
      <c r="M38" s="22" t="str">
        <f>Austragungsort</f>
        <v xml:space="preserve">Sporthalle Berlin</v>
      </c>
      <c r="N38" s="25"/>
      <c r="O38" s="25"/>
      <c r="P38" s="25"/>
      <c r="Q38" s="25"/>
      <c r="R38" s="20"/>
      <c r="S38" s="20"/>
      <c r="T38" s="20"/>
      <c r="V38" s="23"/>
      <c r="W38" s="23"/>
      <c r="Y38" s="26" t="s">
        <v>129</v>
      </c>
      <c r="Z38" s="27"/>
      <c r="AA38" s="28" t="s">
        <v>130</v>
      </c>
      <c r="AB38" s="27"/>
      <c r="AD38" s="29" t="s">
        <v>131</v>
      </c>
      <c r="AE38" s="17"/>
      <c r="AF38" s="17"/>
      <c r="AG38" s="17"/>
      <c r="AH38" s="17"/>
      <c r="AI38" s="17"/>
      <c r="AJ38" s="17"/>
      <c r="AK38" s="17"/>
      <c r="AL38" s="17"/>
      <c r="AM38" s="17"/>
    </row>
    <row r="39" s="11" customFormat="1" ht="21">
      <c r="A39" s="15"/>
      <c r="C39" s="24" t="s">
        <v>132</v>
      </c>
      <c r="L39" s="24" t="s">
        <v>133</v>
      </c>
      <c r="V39" s="23"/>
      <c r="W39" s="23"/>
      <c r="Y39" s="30">
        <v>1</v>
      </c>
      <c r="Z39" s="31" t="e">
        <f>VLOOKUP(CONCATENATE($D36," ",Y39),Setzlisten!$A:$E,5,0)</f>
        <v>#N/A</v>
      </c>
      <c r="AA39" s="30" t="e">
        <f>VLOOKUP(CONCATENATE($D38," ",Y39),Setzlisten!$A:$E,5,0)</f>
        <v>#N/A</v>
      </c>
      <c r="AB39" s="31">
        <v>1</v>
      </c>
      <c r="AD39" s="32" t="str">
        <f>CONCATENATE(A43,": ",D43," mit ",D44," - ",G43," mit ",G44,", ",I43,":",J43,", ",K43,":",L43,IF(M43="","",CONCATENATE(", ",M43,":",N43)),CHAR(10),A45,": ",D45," mit ",D46," - ",G45," mit ",G46,", ",I45,":",J45,", ",K45,":",L45,IF(M45="","",CONCATENATE(", ",M45,":",N45)),CHAR(10),A47,": ",D47," mit ",D48," - ",G47," mit ",G48,", ",I47,":",J47,", ",K47,":",L47,IF(M47="","",CONCATENATE(", ",M47,":",N47)),CHAR(10),A49,": ",D49," - ",G49,", ",I49,":",J49,", ",K49,":",L49,IF(M49="","",CONCATENATE(", ",M49,":",N49)),CHAR(10),A50,": ",D50," - ",G50,", ",I50,":",J50,", ",K50,":",L50,IF(M50="","",CONCATENATE(", ",M50,":",N50)))</f>
        <v xml:space="preserve">1. Doppel
1st Doubles:  mit  -  mit , :, :
2. Doppel
2nd Doubles:  mit  -  mit , :, :
3. Doppel
3rd Doubles:  mit  -  mit , :, :
1. Einzel
1st Singles:  - , :, :
2. Einzel
2nd Singles:  - , :, :</v>
      </c>
      <c r="AE39" s="17"/>
      <c r="AF39" s="17"/>
      <c r="AG39" s="17"/>
      <c r="AH39" s="17"/>
      <c r="AI39" s="17"/>
      <c r="AJ39" s="17"/>
      <c r="AK39" s="17"/>
      <c r="AL39" s="17"/>
      <c r="AM39" s="17"/>
    </row>
    <row r="40" s="11" customFormat="1" ht="26.25" customHeight="1">
      <c r="A40" s="33" t="s">
        <v>134</v>
      </c>
      <c r="B40" s="34"/>
      <c r="C40" s="35" t="s">
        <v>135</v>
      </c>
      <c r="D40" s="36" t="s">
        <v>136</v>
      </c>
      <c r="E40" s="37"/>
      <c r="F40" s="38" t="s">
        <v>135</v>
      </c>
      <c r="G40" s="39" t="s">
        <v>137</v>
      </c>
      <c r="H40" s="40"/>
      <c r="I40" s="41" t="s">
        <v>138</v>
      </c>
      <c r="J40" s="42"/>
      <c r="K40" s="41" t="s">
        <v>139</v>
      </c>
      <c r="L40" s="42"/>
      <c r="M40" s="43" t="s">
        <v>140</v>
      </c>
      <c r="N40" s="44"/>
      <c r="O40" s="45" t="s">
        <v>141</v>
      </c>
      <c r="P40" s="46"/>
      <c r="Q40" s="47" t="s">
        <v>142</v>
      </c>
      <c r="R40" s="48"/>
      <c r="S40" s="49" t="s">
        <v>143</v>
      </c>
      <c r="T40" s="50"/>
      <c r="V40" s="51" t="s">
        <v>144</v>
      </c>
      <c r="W40" s="52" t="s">
        <v>145</v>
      </c>
      <c r="Y40" s="30">
        <v>2</v>
      </c>
      <c r="Z40" s="31" t="e">
        <f>VLOOKUP(CONCATENATE($D36," ",Y40),Setzlisten!$A:$E,5,0)</f>
        <v>#N/A</v>
      </c>
      <c r="AA40" s="30" t="e">
        <f>VLOOKUP(CONCATENATE($D38," ",Y40),Setzlisten!$A:$E,5,0)</f>
        <v>#N/A</v>
      </c>
      <c r="AB40" s="31">
        <v>2</v>
      </c>
      <c r="AD40" s="32"/>
      <c r="AE40" s="17"/>
      <c r="AF40" s="17"/>
      <c r="AG40" s="17"/>
      <c r="AH40" s="17"/>
      <c r="AI40" s="17"/>
      <c r="AJ40" s="17"/>
      <c r="AK40" s="17"/>
      <c r="AL40" s="17"/>
      <c r="AM40" s="17"/>
    </row>
    <row r="41" s="11" customFormat="1" ht="29.25" customHeight="1">
      <c r="A41" s="53">
        <f>A10</f>
        <v>0.375</v>
      </c>
      <c r="B41" s="34"/>
      <c r="C41" s="54"/>
      <c r="D41" s="55"/>
      <c r="E41" s="56"/>
      <c r="F41" s="57"/>
      <c r="G41" s="58"/>
      <c r="H41" s="40"/>
      <c r="I41" s="59"/>
      <c r="J41" s="60"/>
      <c r="K41" s="59"/>
      <c r="L41" s="60"/>
      <c r="M41" s="61"/>
      <c r="N41" s="62"/>
      <c r="O41" s="63" t="s">
        <v>146</v>
      </c>
      <c r="P41" s="64" t="s">
        <v>147</v>
      </c>
      <c r="Q41" s="65" t="s">
        <v>146</v>
      </c>
      <c r="R41" s="66" t="s">
        <v>147</v>
      </c>
      <c r="S41" s="64" t="s">
        <v>146</v>
      </c>
      <c r="T41" s="67" t="s">
        <v>147</v>
      </c>
      <c r="V41" s="68"/>
      <c r="W41" s="69"/>
      <c r="Y41" s="30">
        <v>3</v>
      </c>
      <c r="Z41" s="31" t="e">
        <f>VLOOKUP(CONCATENATE($D36," ",Y41),Setzlisten!$A:$E,5,0)</f>
        <v>#N/A</v>
      </c>
      <c r="AA41" s="30" t="e">
        <f>VLOOKUP(CONCATENATE($D38," ",Y41),Setzlisten!$A:$E,5,0)</f>
        <v>#N/A</v>
      </c>
      <c r="AB41" s="31">
        <v>3</v>
      </c>
      <c r="AD41" s="32"/>
      <c r="AE41" s="17"/>
      <c r="AF41" s="17"/>
      <c r="AG41" s="17"/>
      <c r="AH41" s="17"/>
      <c r="AI41" s="17"/>
      <c r="AJ41" s="17"/>
      <c r="AK41" s="17"/>
      <c r="AL41" s="17"/>
      <c r="AM41" s="17"/>
    </row>
    <row r="42" s="70" customFormat="1" ht="9">
      <c r="V42" s="30"/>
      <c r="W42" s="31"/>
      <c r="Y42" s="30">
        <v>4</v>
      </c>
      <c r="Z42" s="31" t="e">
        <f>VLOOKUP(CONCATENATE($D36," ",Y42),Setzlisten!$A:$E,5,0)</f>
        <v>#N/A</v>
      </c>
      <c r="AA42" s="30" t="e">
        <f>VLOOKUP(CONCATENATE($D38," ",Y42),Setzlisten!$A:$E,5,0)</f>
        <v>#N/A</v>
      </c>
      <c r="AB42" s="31">
        <v>4</v>
      </c>
      <c r="AD42" s="32"/>
    </row>
    <row r="43" s="11" customFormat="1" ht="24" customHeight="1">
      <c r="A43" s="71" t="s">
        <v>148</v>
      </c>
      <c r="C43" s="72">
        <f>IF(D43="",0,VLOOKUP(D43,$Z39:$AB53,3,0))</f>
        <v>0</v>
      </c>
      <c r="D43" s="73"/>
      <c r="E43" s="74"/>
      <c r="F43" s="75">
        <f>IF(G43="",0,VLOOKUP(G43,$AA39:$AB53,2,0))</f>
        <v>0</v>
      </c>
      <c r="G43" s="76"/>
      <c r="H43" s="148"/>
      <c r="I43" s="77"/>
      <c r="J43" s="78"/>
      <c r="K43" s="77"/>
      <c r="L43" s="78"/>
      <c r="M43" s="77"/>
      <c r="N43" s="79"/>
      <c r="O43" s="80" t="str">
        <f>IF(I43="","",SUM(I43,K43,M43))</f>
        <v/>
      </c>
      <c r="P43" s="81" t="str">
        <f>IF(J43="","",SUM(J43,L43,N43))</f>
        <v/>
      </c>
      <c r="Q43" s="82" t="str">
        <f>IF(I43="","",IF(I43&gt;J43,1,0)+IF(K43&gt;L43,1,0)+IF(M43="",0,IF(M43&gt;N43,1,0)))</f>
        <v/>
      </c>
      <c r="R43" s="83" t="str">
        <f>IF(I43="","",IF(J43&gt;I43,1,0)+IF(L43&gt;K43,1,0)+IF(M43="",0,IF(N43&gt;M43,1,0)))</f>
        <v/>
      </c>
      <c r="S43" s="84" t="str">
        <f>IF(I43="","",IF(Q43&gt;R43,1,0))</f>
        <v/>
      </c>
      <c r="T43" s="85" t="str">
        <f>IF(I43="","",IF(R43&gt;Q43,1,0))</f>
        <v/>
      </c>
      <c r="V43" s="86">
        <f>C43+C44</f>
        <v>0</v>
      </c>
      <c r="W43" s="87">
        <f>F43+F44</f>
        <v>0</v>
      </c>
      <c r="Y43" s="30">
        <v>5</v>
      </c>
      <c r="Z43" s="31" t="e">
        <f>VLOOKUP(CONCATENATE($D36," ",Y43),Setzlisten!$A:$E,5,0)</f>
        <v>#N/A</v>
      </c>
      <c r="AA43" s="30" t="e">
        <f>VLOOKUP(CONCATENATE($D38," ",Y43),Setzlisten!$A:$E,5,0)</f>
        <v>#N/A</v>
      </c>
      <c r="AB43" s="31">
        <v>5</v>
      </c>
      <c r="AD43" s="32"/>
    </row>
    <row r="44" s="11" customFormat="1" ht="24" customHeight="1">
      <c r="A44" s="88"/>
      <c r="C44" s="89">
        <f>IF(D44="",0,VLOOKUP(D44,$Z39:$AB53,3,0))</f>
        <v>0</v>
      </c>
      <c r="D44" s="90"/>
      <c r="E44" s="91"/>
      <c r="F44" s="92">
        <f>IF(G44="",0,VLOOKUP(G44,$AA39:$AB53,2,0))</f>
        <v>0</v>
      </c>
      <c r="G44" s="93"/>
      <c r="H44" s="148"/>
      <c r="I44" s="77"/>
      <c r="J44" s="78"/>
      <c r="K44" s="77"/>
      <c r="L44" s="78"/>
      <c r="M44" s="77"/>
      <c r="N44" s="79"/>
      <c r="O44" s="92"/>
      <c r="P44" s="94"/>
      <c r="Q44" s="89"/>
      <c r="R44" s="95"/>
      <c r="S44" s="96"/>
      <c r="T44" s="97"/>
      <c r="V44" s="98"/>
      <c r="W44" s="99"/>
      <c r="Y44" s="30">
        <v>6</v>
      </c>
      <c r="Z44" s="31" t="e">
        <f>VLOOKUP(CONCATENATE($D36," ",Y44),Setzlisten!$A:$E,5,0)</f>
        <v>#N/A</v>
      </c>
      <c r="AA44" s="30" t="e">
        <f>VLOOKUP(CONCATENATE($D38," ",Y44),Setzlisten!$A:$E,5,0)</f>
        <v>#N/A</v>
      </c>
      <c r="AB44" s="31">
        <v>6</v>
      </c>
      <c r="AD44" s="32"/>
    </row>
    <row r="45" s="11" customFormat="1" ht="24" customHeight="1">
      <c r="A45" s="71" t="s">
        <v>149</v>
      </c>
      <c r="C45" s="72">
        <f>IF(D45="",0,VLOOKUP(D45,$Z39:$AB53,3,0))</f>
        <v>0</v>
      </c>
      <c r="D45" s="73"/>
      <c r="E45" s="74"/>
      <c r="F45" s="75">
        <f>IF(G45="",0,VLOOKUP(G45,$AA39:$AB53,2,0))</f>
        <v>0</v>
      </c>
      <c r="G45" s="76"/>
      <c r="H45" s="148"/>
      <c r="I45" s="77"/>
      <c r="J45" s="100"/>
      <c r="K45" s="77"/>
      <c r="L45" s="78"/>
      <c r="M45" s="77"/>
      <c r="N45" s="79"/>
      <c r="O45" s="80" t="str">
        <f>IF(I45="","",SUM(I45,K45,M45))</f>
        <v/>
      </c>
      <c r="P45" s="81" t="str">
        <f t="shared" ref="P45:P50" si="20">IF(J45="","",SUM(J45,L45,N45))</f>
        <v/>
      </c>
      <c r="Q45" s="82" t="str">
        <f t="shared" ref="Q45:Q50" si="21">IF(I45="","",IF(I45&gt;J45,1,0)+IF(K45&gt;L45,1,0)+IF(M45="",0,IF(M45&gt;N45,1,0)))</f>
        <v/>
      </c>
      <c r="R45" s="83" t="str">
        <f t="shared" ref="R45:R50" si="22">IF(I45="","",IF(J45&gt;I45,1,0)+IF(L45&gt;K45,1,0)+IF(M45="",0,IF(N45&gt;M45,1,0)))</f>
        <v/>
      </c>
      <c r="S45" s="84" t="str">
        <f t="shared" ref="S45:S50" si="23">IF(I45="","",IF(Q45&gt;R45,1,0))</f>
        <v/>
      </c>
      <c r="T45" s="85" t="str">
        <f t="shared" ref="T45:T50" si="24">IF(I45="","",IF(R45&gt;Q45,1,0))</f>
        <v/>
      </c>
      <c r="V45" s="98">
        <f>C45+C46</f>
        <v>0</v>
      </c>
      <c r="W45" s="99">
        <f>F45+F46</f>
        <v>0</v>
      </c>
      <c r="Y45" s="30">
        <v>7</v>
      </c>
      <c r="Z45" s="31" t="e">
        <f>VLOOKUP(CONCATENATE($D36," ",Y45),Setzlisten!$A:$E,5,0)</f>
        <v>#N/A</v>
      </c>
      <c r="AA45" s="30" t="e">
        <f>VLOOKUP(CONCATENATE($D38," ",Y45),Setzlisten!$A:$E,5,0)</f>
        <v>#N/A</v>
      </c>
      <c r="AB45" s="31">
        <v>7</v>
      </c>
      <c r="AD45" s="101" t="s">
        <v>150</v>
      </c>
    </row>
    <row r="46" s="11" customFormat="1" ht="24" customHeight="1">
      <c r="A46" s="88"/>
      <c r="C46" s="89">
        <f>IF(D46="",0,VLOOKUP(D46,$Z39:$AB53,3,0))</f>
        <v>0</v>
      </c>
      <c r="D46" s="90"/>
      <c r="E46" s="91"/>
      <c r="F46" s="92">
        <f>IF(G46="",0,VLOOKUP(G46,$AA39:$AB53,2,0))</f>
        <v>0</v>
      </c>
      <c r="G46" s="93"/>
      <c r="H46" s="148"/>
      <c r="I46" s="77"/>
      <c r="J46" s="78"/>
      <c r="K46" s="77"/>
      <c r="L46" s="78"/>
      <c r="M46" s="77"/>
      <c r="N46" s="79"/>
      <c r="O46" s="92"/>
      <c r="P46" s="94"/>
      <c r="Q46" s="89"/>
      <c r="R46" s="95"/>
      <c r="S46" s="96"/>
      <c r="T46" s="97"/>
      <c r="V46" s="98"/>
      <c r="W46" s="99"/>
      <c r="Y46" s="30">
        <v>8</v>
      </c>
      <c r="Z46" s="31" t="e">
        <f>VLOOKUP(CONCATENATE($D36," ",Y46),Setzlisten!$A:$E,5,0)</f>
        <v>#N/A</v>
      </c>
      <c r="AA46" s="30" t="e">
        <f>VLOOKUP(CONCATENATE($D38," ",Y46),Setzlisten!$A:$E,5,0)</f>
        <v>#N/A</v>
      </c>
      <c r="AB46" s="31">
        <v>8</v>
      </c>
      <c r="AD46" s="101"/>
    </row>
    <row r="47" s="11" customFormat="1" ht="24" customHeight="1">
      <c r="A47" s="71" t="s">
        <v>151</v>
      </c>
      <c r="C47" s="72">
        <f>IF(D47="",0,VLOOKUP(D47,$Z39:$AB53,3,0))</f>
        <v>0</v>
      </c>
      <c r="D47" s="73"/>
      <c r="E47" s="74"/>
      <c r="F47" s="75">
        <f>IF(G47="",0,VLOOKUP(G47,$AA39:$AB53,2,0))</f>
        <v>0</v>
      </c>
      <c r="G47" s="76"/>
      <c r="H47" s="148"/>
      <c r="I47" s="77"/>
      <c r="J47" s="78"/>
      <c r="K47" s="77"/>
      <c r="L47" s="78"/>
      <c r="M47" s="77"/>
      <c r="N47" s="79"/>
      <c r="O47" s="80" t="str">
        <f>IF(I47="","",SUM(I47,K47,M47))</f>
        <v/>
      </c>
      <c r="P47" s="81" t="str">
        <f t="shared" si="20"/>
        <v/>
      </c>
      <c r="Q47" s="82" t="str">
        <f t="shared" si="21"/>
        <v/>
      </c>
      <c r="R47" s="83" t="str">
        <f t="shared" si="22"/>
        <v/>
      </c>
      <c r="S47" s="84" t="str">
        <f t="shared" si="23"/>
        <v/>
      </c>
      <c r="T47" s="85" t="str">
        <f t="shared" si="24"/>
        <v/>
      </c>
      <c r="V47" s="98">
        <f>C47+C48</f>
        <v>0</v>
      </c>
      <c r="W47" s="99">
        <f>F47+F48</f>
        <v>0</v>
      </c>
      <c r="Y47" s="30">
        <v>9</v>
      </c>
      <c r="Z47" s="31" t="e">
        <f>VLOOKUP(CONCATENATE($D36," ",Y47),Setzlisten!$A:$E,5,0)</f>
        <v>#N/A</v>
      </c>
      <c r="AA47" s="30" t="e">
        <f>VLOOKUP(CONCATENATE($D38," ",Y47),Setzlisten!$A:$E,5,0)</f>
        <v>#N/A</v>
      </c>
      <c r="AB47" s="31">
        <v>9</v>
      </c>
      <c r="AD47" s="32"/>
    </row>
    <row r="48" s="11" customFormat="1" ht="24" customHeight="1">
      <c r="A48" s="88"/>
      <c r="C48" s="89">
        <f>IF(D48="",0,VLOOKUP(D48,$Z39:$AB53,3,0))</f>
        <v>0</v>
      </c>
      <c r="D48" s="90"/>
      <c r="E48" s="91"/>
      <c r="F48" s="92">
        <f>IF(G48="",0,VLOOKUP(G48,$AA39:$AB53,2,0))</f>
        <v>0</v>
      </c>
      <c r="G48" s="93"/>
      <c r="H48" s="148"/>
      <c r="I48" s="77"/>
      <c r="J48" s="78"/>
      <c r="K48" s="77"/>
      <c r="L48" s="78"/>
      <c r="M48" s="77"/>
      <c r="N48" s="79"/>
      <c r="O48" s="92"/>
      <c r="P48" s="94"/>
      <c r="Q48" s="89"/>
      <c r="R48" s="95"/>
      <c r="S48" s="96"/>
      <c r="T48" s="97"/>
      <c r="V48" s="102"/>
      <c r="W48" s="103"/>
      <c r="Y48" s="30">
        <v>10</v>
      </c>
      <c r="Z48" s="31" t="e">
        <f>VLOOKUP(CONCATENATE($D36," ",Y48),Setzlisten!$A:$E,5,0)</f>
        <v>#N/A</v>
      </c>
      <c r="AA48" s="30" t="e">
        <f>VLOOKUP(CONCATENATE($D38," ",Y48),Setzlisten!$A:$E,5,0)</f>
        <v>#N/A</v>
      </c>
      <c r="AB48" s="31">
        <v>10</v>
      </c>
      <c r="AD48" s="32"/>
    </row>
    <row r="49" s="11" customFormat="1" ht="30" customHeight="1">
      <c r="A49" s="71" t="s">
        <v>152</v>
      </c>
      <c r="B49" s="104"/>
      <c r="C49" s="105">
        <f>IF(D49="",0,VLOOKUP(D49,$Z39:$AB53,3,0))</f>
        <v>0</v>
      </c>
      <c r="D49" s="106"/>
      <c r="E49" s="107"/>
      <c r="F49" s="108">
        <f>IF(G49="",0,VLOOKUP(G49,$AA39:$AB53,2,0))</f>
        <v>0</v>
      </c>
      <c r="G49" s="109"/>
      <c r="H49" s="148"/>
      <c r="I49" s="77"/>
      <c r="J49" s="78"/>
      <c r="K49" s="77"/>
      <c r="L49" s="78"/>
      <c r="M49" s="77"/>
      <c r="N49" s="79"/>
      <c r="O49" s="149" t="str">
        <f t="shared" ref="O49:O50" si="25">IF(I49="","",SUM(I49,K49,M49))</f>
        <v/>
      </c>
      <c r="P49" s="150" t="str">
        <f t="shared" si="20"/>
        <v/>
      </c>
      <c r="Q49" s="151" t="str">
        <f t="shared" si="21"/>
        <v/>
      </c>
      <c r="R49" s="152" t="str">
        <f t="shared" si="22"/>
        <v/>
      </c>
      <c r="S49" s="153" t="str">
        <f t="shared" si="23"/>
        <v/>
      </c>
      <c r="T49" s="154" t="str">
        <f t="shared" si="24"/>
        <v/>
      </c>
      <c r="V49" s="98">
        <f t="shared" ref="V49:V50" si="26">C49</f>
        <v>0</v>
      </c>
      <c r="W49" s="99">
        <f t="shared" ref="W49:W50" si="27">F49</f>
        <v>0</v>
      </c>
      <c r="Y49" s="30">
        <v>11</v>
      </c>
      <c r="Z49" s="31" t="e">
        <f>VLOOKUP(CONCATENATE($D36," ",Y49),Setzlisten!$A:$E,5,0)</f>
        <v>#N/A</v>
      </c>
      <c r="AA49" s="30" t="e">
        <f>VLOOKUP(CONCATENATE($D38," ",Y49),Setzlisten!$A:$E,5,0)</f>
        <v>#N/A</v>
      </c>
      <c r="AB49" s="31">
        <v>11</v>
      </c>
      <c r="AD49" s="32"/>
    </row>
    <row r="50" s="11" customFormat="1" ht="30" customHeight="1">
      <c r="A50" s="71" t="s">
        <v>153</v>
      </c>
      <c r="B50" s="104"/>
      <c r="C50" s="105">
        <f>IF(D50="",0,VLOOKUP(D50,$Z39:$AB53,3,0))</f>
        <v>0</v>
      </c>
      <c r="D50" s="106"/>
      <c r="E50" s="107"/>
      <c r="F50" s="108">
        <f>IF(G50="",0,VLOOKUP(G50,$AA39:$AB53,2,0))</f>
        <v>0</v>
      </c>
      <c r="G50" s="109"/>
      <c r="H50" s="148"/>
      <c r="I50" s="77"/>
      <c r="J50" s="78"/>
      <c r="K50" s="77"/>
      <c r="L50" s="78"/>
      <c r="M50" s="77"/>
      <c r="N50" s="79"/>
      <c r="O50" s="149" t="str">
        <f t="shared" si="25"/>
        <v/>
      </c>
      <c r="P50" s="150" t="str">
        <f t="shared" si="20"/>
        <v/>
      </c>
      <c r="Q50" s="151" t="str">
        <f t="shared" si="21"/>
        <v/>
      </c>
      <c r="R50" s="152" t="str">
        <f t="shared" si="22"/>
        <v/>
      </c>
      <c r="S50" s="153" t="str">
        <f t="shared" si="23"/>
        <v/>
      </c>
      <c r="T50" s="154" t="str">
        <f t="shared" si="24"/>
        <v/>
      </c>
      <c r="V50" s="102">
        <f t="shared" si="26"/>
        <v>0</v>
      </c>
      <c r="W50" s="103">
        <f t="shared" si="27"/>
        <v>0</v>
      </c>
      <c r="Y50" s="30">
        <v>12</v>
      </c>
      <c r="Z50" s="31" t="e">
        <f>VLOOKUP(CONCATENATE($D36," ",Y50),Setzlisten!$A:$E,5,0)</f>
        <v>#N/A</v>
      </c>
      <c r="AA50" s="30" t="e">
        <f>VLOOKUP(CONCATENATE($D38," ",Y50),Setzlisten!$A:$E,5,0)</f>
        <v>#N/A</v>
      </c>
      <c r="AB50" s="31">
        <v>12</v>
      </c>
      <c r="AD50" s="32"/>
    </row>
    <row r="51" s="70" customFormat="1" ht="9">
      <c r="Y51" s="30">
        <v>13</v>
      </c>
      <c r="Z51" s="31" t="e">
        <f>VLOOKUP(CONCATENATE($D36," ",Y51),Setzlisten!$A:$E,5,0)</f>
        <v>#N/A</v>
      </c>
      <c r="AA51" s="30" t="e">
        <f>VLOOKUP(CONCATENATE($D38," ",Y51),Setzlisten!$A:$E,5,0)</f>
        <v>#N/A</v>
      </c>
      <c r="AB51" s="31">
        <v>13</v>
      </c>
      <c r="AD51" s="32"/>
    </row>
    <row r="52" s="11" customFormat="1" ht="16.5">
      <c r="A52" s="114" t="s">
        <v>154</v>
      </c>
      <c r="B52" s="34"/>
      <c r="C52" s="115" t="s">
        <v>155</v>
      </c>
      <c r="D52" s="116"/>
      <c r="E52" s="117" t="str">
        <f>IF(S52="","",IF(S52&gt;T52,D36,D38))</f>
        <v/>
      </c>
      <c r="F52" s="118"/>
      <c r="G52" s="119"/>
      <c r="I52" s="115" t="s">
        <v>156</v>
      </c>
      <c r="J52" s="120"/>
      <c r="K52" s="120"/>
      <c r="L52" s="120"/>
      <c r="M52" s="120"/>
      <c r="N52" s="116"/>
      <c r="O52" s="82" t="str">
        <f t="shared" ref="O52:T52" si="28">IF(O43="","",SUM(O43:O50))</f>
        <v/>
      </c>
      <c r="P52" s="121" t="str">
        <f t="shared" si="28"/>
        <v/>
      </c>
      <c r="Q52" s="82" t="str">
        <f t="shared" si="28"/>
        <v/>
      </c>
      <c r="R52" s="121" t="str">
        <f t="shared" si="28"/>
        <v/>
      </c>
      <c r="S52" s="82" t="str">
        <f t="shared" si="28"/>
        <v/>
      </c>
      <c r="T52" s="122" t="str">
        <f t="shared" si="28"/>
        <v/>
      </c>
      <c r="Y52" s="30">
        <v>14</v>
      </c>
      <c r="Z52" s="31" t="e">
        <f>VLOOKUP(CONCATENATE($D36," ",Y52),Setzlisten!$A:$E,5,0)</f>
        <v>#N/A</v>
      </c>
      <c r="AA52" s="30" t="e">
        <f>VLOOKUP(CONCATENATE($D38," ",Y52),Setzlisten!$A:$E,5,0)</f>
        <v>#N/A</v>
      </c>
      <c r="AB52" s="31">
        <v>14</v>
      </c>
      <c r="AD52" s="32"/>
    </row>
    <row r="53" s="11" customFormat="1" ht="24">
      <c r="A53" s="53">
        <f>A22</f>
        <v>0.4375</v>
      </c>
      <c r="B53" s="34"/>
      <c r="C53" s="123"/>
      <c r="D53" s="124"/>
      <c r="E53" s="125"/>
      <c r="F53" s="126"/>
      <c r="G53" s="127"/>
      <c r="I53" s="123"/>
      <c r="J53" s="128"/>
      <c r="K53" s="128"/>
      <c r="L53" s="128"/>
      <c r="M53" s="128"/>
      <c r="N53" s="124"/>
      <c r="O53" s="129"/>
      <c r="P53" s="130"/>
      <c r="Q53" s="129"/>
      <c r="R53" s="130"/>
      <c r="S53" s="129"/>
      <c r="T53" s="131"/>
      <c r="Y53" s="132">
        <v>15</v>
      </c>
      <c r="Z53" s="133" t="e">
        <f>VLOOKUP(CONCATENATE($D36," ",Y53),Setzlisten!$A:$E,5,0)</f>
        <v>#N/A</v>
      </c>
      <c r="AA53" s="132" t="e">
        <f>VLOOKUP(CONCATENATE($D38," ",Y53),Setzlisten!$A:$E,5,0)</f>
        <v>#N/A</v>
      </c>
      <c r="AB53" s="133">
        <v>15</v>
      </c>
    </row>
    <row r="54" s="11" customFormat="1" ht="15" customHeight="1">
      <c r="A54" s="15"/>
    </row>
    <row r="55" s="11" customFormat="1" ht="30" customHeight="1">
      <c r="B55" s="21"/>
      <c r="C55" s="21"/>
      <c r="D55" s="134" t="s">
        <v>157</v>
      </c>
      <c r="E55" s="134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</row>
    <row r="56" s="11" customFormat="1">
      <c r="A56" s="14"/>
      <c r="P56" s="136"/>
      <c r="Q56" s="136"/>
      <c r="R56" s="136"/>
      <c r="S56" s="136"/>
      <c r="T56" s="136"/>
    </row>
    <row r="57" s="11" customFormat="1" ht="30" customHeight="1">
      <c r="A57" s="137" t="s">
        <v>158</v>
      </c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</row>
    <row r="58" s="11" customFormat="1" ht="36" customHeight="1">
      <c r="A58" s="139" t="str">
        <f>Allgemeines!$B$3</f>
        <v>Hamburg</v>
      </c>
      <c r="B58" s="139"/>
      <c r="C58" s="139"/>
      <c r="D58" s="139"/>
      <c r="E58" s="140">
        <f>Allgemeines!$B$4</f>
        <v>46023</v>
      </c>
      <c r="G58" s="141"/>
      <c r="J58" s="141"/>
      <c r="K58" s="141"/>
      <c r="L58" s="141"/>
      <c r="M58" s="141"/>
      <c r="N58" s="141"/>
      <c r="P58" s="141"/>
      <c r="Q58" s="141"/>
      <c r="R58" s="141"/>
      <c r="S58" s="141"/>
      <c r="T58" s="141"/>
    </row>
    <row r="59" s="11" customFormat="1">
      <c r="A59" s="142"/>
      <c r="B59" s="142"/>
      <c r="C59" s="142"/>
      <c r="D59" s="142"/>
      <c r="E59" s="143"/>
      <c r="G59" s="144"/>
      <c r="J59" s="144"/>
      <c r="K59" s="144"/>
      <c r="L59" s="144"/>
      <c r="M59" s="144"/>
      <c r="N59" s="144"/>
      <c r="P59" s="144"/>
      <c r="Q59" s="144"/>
      <c r="R59" s="144"/>
      <c r="S59" s="144"/>
      <c r="T59" s="144"/>
    </row>
    <row r="60" s="11" customFormat="1" ht="16.5">
      <c r="A60" s="145" t="s">
        <v>159</v>
      </c>
      <c r="B60" s="145"/>
      <c r="C60" s="145"/>
      <c r="D60" s="145"/>
      <c r="E60" s="145" t="s">
        <v>160</v>
      </c>
      <c r="F60" s="40"/>
      <c r="G60" s="145" t="s">
        <v>2</v>
      </c>
      <c r="H60" s="40"/>
      <c r="I60" s="40"/>
      <c r="J60" s="146" t="s">
        <v>161</v>
      </c>
      <c r="K60" s="146"/>
      <c r="L60" s="146"/>
      <c r="M60" s="146"/>
      <c r="N60" s="146"/>
      <c r="O60" s="40"/>
      <c r="P60" s="146" t="s">
        <v>162</v>
      </c>
      <c r="Q60" s="146"/>
      <c r="R60" s="146"/>
      <c r="S60" s="146"/>
      <c r="T60" s="146"/>
    </row>
    <row r="61">
      <c r="G61" s="147" t="s">
        <v>163</v>
      </c>
      <c r="J61" s="147" t="s">
        <v>164</v>
      </c>
      <c r="K61" s="147"/>
      <c r="L61" s="147"/>
      <c r="M61" s="147"/>
      <c r="N61" s="147"/>
      <c r="P61" s="147" t="s">
        <v>165</v>
      </c>
      <c r="Q61" s="147"/>
      <c r="R61" s="147"/>
      <c r="S61" s="147"/>
      <c r="T61" s="147"/>
    </row>
    <row r="62">
      <c r="G62" s="141" t="str">
        <f>Allgemeines!$D$2</f>
        <v xml:space="preserve">George Washington</v>
      </c>
      <c r="J62" s="141" t="str">
        <f>IF(D36="","",VLOOKUP(D36,Allgemeines!$B$7:$D$12,3,0))</f>
        <v/>
      </c>
      <c r="K62" s="141"/>
      <c r="L62" s="141"/>
      <c r="M62" s="141"/>
      <c r="N62" s="141"/>
      <c r="P62" s="141" t="str">
        <f>IF(D38="","",VLOOKUP(D38,Allgemeines!$B$7:$D$12,3,0))</f>
        <v/>
      </c>
      <c r="Q62" s="141"/>
      <c r="R62" s="141"/>
      <c r="S62" s="141"/>
      <c r="T62" s="141"/>
    </row>
    <row r="63" ht="21">
      <c r="A63" s="9" t="s">
        <v>120</v>
      </c>
      <c r="F63" s="10" t="str">
        <f>IF(V74&gt;V76,CONCATENATE("Achtung! Teamreihenfolge ",D67," nicht richtig! 1. und 2. Doppel tauschen."),IF(V76&gt;V78,CONCATENATE("Achtung! Teamreihenfolge ",D67," nicht richtig! 2. und 3. Doppel tauschen."),IF(AND(V80&gt;=V81,V81&gt;0),CONCATENATE("Achtung! Teamreihenfolge ",D67," nicht richtig! Beide Einzel tauschen."),IF(W74&gt;W76,CONCATENATE("Achtung! Teamreihenfolge ",D69," nicht richtig! 1. und 2. Doppel tauschen."),IF(W76&gt;W78,CONCATENATE("Achtung! Teamreihenfolge ",D69," nicht richtig! 2. und 3. Doppel tauschen."),IF(AND(W80&gt;=W81,W81&gt;0),CONCATENATE("Achtung! Teamreihenfolge ",D69," nicht richtig! Beide Einzel tauschen."),""))))))</f>
        <v/>
      </c>
      <c r="G63" s="10"/>
      <c r="H63" s="10"/>
      <c r="I63" s="10"/>
      <c r="J63" s="10"/>
      <c r="K63" s="10"/>
      <c r="L63" s="10"/>
      <c r="M63" s="10"/>
      <c r="N63" s="10"/>
    </row>
    <row r="64" s="11" customFormat="1" ht="26.25">
      <c r="A64" s="12" t="s">
        <v>121</v>
      </c>
      <c r="B64" s="12"/>
      <c r="C64" s="12"/>
      <c r="D64" s="12"/>
      <c r="E64" s="12"/>
      <c r="F64" s="10"/>
      <c r="G64" s="10"/>
      <c r="H64" s="10"/>
      <c r="I64" s="10"/>
      <c r="J64" s="10"/>
      <c r="K64" s="10"/>
      <c r="L64" s="10"/>
      <c r="M64" s="10"/>
      <c r="N64" s="10"/>
    </row>
    <row r="65" s="11" customFormat="1" ht="26.25">
      <c r="A65" s="13" t="s">
        <v>122</v>
      </c>
      <c r="B65" s="12"/>
      <c r="C65" s="12"/>
      <c r="D65" s="12"/>
      <c r="E65" s="12"/>
      <c r="F65" s="10"/>
      <c r="G65" s="10"/>
      <c r="H65" s="10"/>
      <c r="I65" s="10"/>
      <c r="J65" s="10"/>
      <c r="K65" s="10"/>
      <c r="L65" s="10"/>
      <c r="M65" s="10"/>
      <c r="N65" s="10"/>
    </row>
    <row r="66" s="14" customFormat="1" ht="15" customHeight="1">
      <c r="A66" s="15"/>
      <c r="M66" s="16"/>
      <c r="V66" s="14"/>
      <c r="W66" s="14"/>
      <c r="AD66" s="17"/>
    </row>
    <row r="67" s="11" customFormat="1" ht="21" customHeight="1">
      <c r="A67" s="18" t="s">
        <v>123</v>
      </c>
      <c r="B67" s="18"/>
      <c r="C67" s="18"/>
      <c r="D67" s="19"/>
      <c r="E67" s="19"/>
      <c r="F67" s="19"/>
      <c r="G67" s="19"/>
      <c r="H67" s="19"/>
      <c r="K67" s="20"/>
      <c r="L67" s="21" t="s">
        <v>124</v>
      </c>
      <c r="M67" s="22" t="str">
        <f>Gruppe</f>
        <v>II</v>
      </c>
      <c r="N67" s="20"/>
      <c r="O67" s="20"/>
      <c r="P67" s="20"/>
      <c r="Q67" s="20"/>
      <c r="R67" s="20"/>
      <c r="S67" s="20"/>
      <c r="T67" s="20"/>
      <c r="V67" s="11"/>
      <c r="W67" s="23"/>
      <c r="AD67" s="17"/>
    </row>
    <row r="68" s="14" customFormat="1" ht="21" customHeight="1">
      <c r="C68" s="24" t="s">
        <v>125</v>
      </c>
      <c r="L68" s="24" t="s">
        <v>126</v>
      </c>
      <c r="M68" s="16"/>
      <c r="N68" s="16"/>
      <c r="O68" s="16"/>
      <c r="P68" s="16"/>
      <c r="Q68" s="16"/>
      <c r="V68" s="23"/>
      <c r="W68" s="23"/>
      <c r="AD68" s="17"/>
    </row>
    <row r="69" s="11" customFormat="1" ht="21" customHeight="1">
      <c r="A69" s="18" t="s">
        <v>127</v>
      </c>
      <c r="B69" s="18"/>
      <c r="C69" s="18"/>
      <c r="D69" s="19"/>
      <c r="E69" s="19"/>
      <c r="F69" s="19"/>
      <c r="G69" s="19"/>
      <c r="H69" s="19"/>
      <c r="J69" s="18" t="s">
        <v>128</v>
      </c>
      <c r="K69" s="18"/>
      <c r="L69" s="18"/>
      <c r="M69" s="22" t="str">
        <f>Austragungsort</f>
        <v xml:space="preserve">Sporthalle Berlin</v>
      </c>
      <c r="N69" s="25"/>
      <c r="O69" s="25"/>
      <c r="P69" s="25"/>
      <c r="Q69" s="25"/>
      <c r="R69" s="20"/>
      <c r="S69" s="20"/>
      <c r="T69" s="20"/>
      <c r="V69" s="23"/>
      <c r="W69" s="23"/>
      <c r="Y69" s="26" t="s">
        <v>129</v>
      </c>
      <c r="Z69" s="27"/>
      <c r="AA69" s="28" t="s">
        <v>130</v>
      </c>
      <c r="AB69" s="27"/>
      <c r="AD69" s="29" t="s">
        <v>131</v>
      </c>
      <c r="AE69" s="17"/>
      <c r="AF69" s="17"/>
      <c r="AG69" s="17"/>
      <c r="AH69" s="17"/>
      <c r="AI69" s="17"/>
      <c r="AJ69" s="17"/>
      <c r="AK69" s="17"/>
      <c r="AL69" s="17"/>
      <c r="AM69" s="17"/>
    </row>
    <row r="70" s="11" customFormat="1" ht="21">
      <c r="A70" s="15"/>
      <c r="C70" s="24" t="s">
        <v>132</v>
      </c>
      <c r="L70" s="24" t="s">
        <v>133</v>
      </c>
      <c r="V70" s="23"/>
      <c r="W70" s="23"/>
      <c r="Y70" s="30">
        <v>1</v>
      </c>
      <c r="Z70" s="31" t="e">
        <f>VLOOKUP(CONCATENATE($D67," ",Y70),Setzlisten!$A:$E,5,0)</f>
        <v>#N/A</v>
      </c>
      <c r="AA70" s="30" t="e">
        <f>VLOOKUP(CONCATENATE($D69," ",Y70),Setzlisten!$A:$E,5,0)</f>
        <v>#N/A</v>
      </c>
      <c r="AB70" s="31">
        <v>1</v>
      </c>
      <c r="AD70" s="32" t="str">
        <f>CONCATENATE(A74,": ",D74," mit ",D75," - ",G74," mit ",G75,", ",I74,":",J74,", ",K74,":",L74,IF(M74="","",CONCATENATE(", ",M74,":",N74)),CHAR(10),A76,": ",D76," mit ",D77," - ",G76," mit ",G77,", ",I76,":",J76,", ",K76,":",L76,IF(M76="","",CONCATENATE(", ",M76,":",N76)),CHAR(10),A78,": ",D78," mit ",D79," - ",G78," mit ",G79,", ",I78,":",J78,", ",K78,":",L78,IF(M78="","",CONCATENATE(", ",M78,":",N78)),CHAR(10),A80,": ",D80," - ",G80,", ",I80,":",J80,", ",K80,":",L80,IF(M80="","",CONCATENATE(", ",M80,":",N80)),CHAR(10),A81,": ",D81," - ",G81,", ",I81,":",J81,", ",K81,":",L81,IF(M81="","",CONCATENATE(", ",M81,":",N81)))</f>
        <v xml:space="preserve">1. Doppel
1st Doubles:  mit  -  mit , :, :
2. Doppel
2nd Doubles:  mit  -  mit , :, :
3. Doppel
3rd Doubles:  mit  -  mit , :, :
1. Einzel
1st Singles:  - , :, :
2. Einzel
2nd Singles:  - , :, :</v>
      </c>
      <c r="AE70" s="17"/>
      <c r="AF70" s="17"/>
      <c r="AG70" s="17"/>
      <c r="AH70" s="17"/>
      <c r="AI70" s="17"/>
      <c r="AJ70" s="17"/>
      <c r="AK70" s="17"/>
      <c r="AL70" s="17"/>
      <c r="AM70" s="17"/>
    </row>
    <row r="71" s="11" customFormat="1" ht="26.25" customHeight="1">
      <c r="A71" s="33" t="s">
        <v>134</v>
      </c>
      <c r="B71" s="34"/>
      <c r="C71" s="35" t="s">
        <v>135</v>
      </c>
      <c r="D71" s="36" t="s">
        <v>136</v>
      </c>
      <c r="E71" s="37"/>
      <c r="F71" s="38" t="s">
        <v>135</v>
      </c>
      <c r="G71" s="39" t="s">
        <v>137</v>
      </c>
      <c r="H71" s="40"/>
      <c r="I71" s="41" t="s">
        <v>138</v>
      </c>
      <c r="J71" s="42"/>
      <c r="K71" s="41" t="s">
        <v>139</v>
      </c>
      <c r="L71" s="42"/>
      <c r="M71" s="43" t="s">
        <v>140</v>
      </c>
      <c r="N71" s="44"/>
      <c r="O71" s="45" t="s">
        <v>141</v>
      </c>
      <c r="P71" s="46"/>
      <c r="Q71" s="47" t="s">
        <v>142</v>
      </c>
      <c r="R71" s="48"/>
      <c r="S71" s="49" t="s">
        <v>143</v>
      </c>
      <c r="T71" s="50"/>
      <c r="V71" s="51" t="s">
        <v>144</v>
      </c>
      <c r="W71" s="52" t="s">
        <v>145</v>
      </c>
      <c r="Y71" s="30">
        <v>2</v>
      </c>
      <c r="Z71" s="31" t="e">
        <f>VLOOKUP(CONCATENATE($D67," ",Y71),Setzlisten!$A:$E,5,0)</f>
        <v>#N/A</v>
      </c>
      <c r="AA71" s="30" t="e">
        <f>VLOOKUP(CONCATENATE($D69," ",Y71),Setzlisten!$A:$E,5,0)</f>
        <v>#N/A</v>
      </c>
      <c r="AB71" s="31">
        <v>2</v>
      </c>
      <c r="AD71" s="32"/>
      <c r="AE71" s="17"/>
      <c r="AF71" s="17"/>
      <c r="AG71" s="17"/>
      <c r="AH71" s="17"/>
      <c r="AI71" s="17"/>
      <c r="AJ71" s="17"/>
      <c r="AK71" s="17"/>
      <c r="AL71" s="17"/>
      <c r="AM71" s="17"/>
    </row>
    <row r="72" s="11" customFormat="1" ht="29.25" customHeight="1">
      <c r="A72" s="53">
        <f>A41</f>
        <v>0.375</v>
      </c>
      <c r="B72" s="34"/>
      <c r="C72" s="54"/>
      <c r="D72" s="55"/>
      <c r="E72" s="56"/>
      <c r="F72" s="57"/>
      <c r="G72" s="58"/>
      <c r="H72" s="40"/>
      <c r="I72" s="59"/>
      <c r="J72" s="60"/>
      <c r="K72" s="59"/>
      <c r="L72" s="60"/>
      <c r="M72" s="61"/>
      <c r="N72" s="62"/>
      <c r="O72" s="63" t="s">
        <v>146</v>
      </c>
      <c r="P72" s="64" t="s">
        <v>147</v>
      </c>
      <c r="Q72" s="65" t="s">
        <v>146</v>
      </c>
      <c r="R72" s="66" t="s">
        <v>147</v>
      </c>
      <c r="S72" s="64" t="s">
        <v>146</v>
      </c>
      <c r="T72" s="67" t="s">
        <v>147</v>
      </c>
      <c r="V72" s="68"/>
      <c r="W72" s="69"/>
      <c r="Y72" s="30">
        <v>3</v>
      </c>
      <c r="Z72" s="31" t="e">
        <f>VLOOKUP(CONCATENATE($D67," ",Y72),Setzlisten!$A:$E,5,0)</f>
        <v>#N/A</v>
      </c>
      <c r="AA72" s="30" t="e">
        <f>VLOOKUP(CONCATENATE($D69," ",Y72),Setzlisten!$A:$E,5,0)</f>
        <v>#N/A</v>
      </c>
      <c r="AB72" s="31">
        <v>3</v>
      </c>
      <c r="AD72" s="32"/>
      <c r="AE72" s="17"/>
      <c r="AF72" s="17"/>
      <c r="AG72" s="17"/>
      <c r="AH72" s="17"/>
      <c r="AI72" s="17"/>
      <c r="AJ72" s="17"/>
      <c r="AK72" s="17"/>
      <c r="AL72" s="17"/>
      <c r="AM72" s="17"/>
    </row>
    <row r="73" s="70" customFormat="1" ht="9">
      <c r="V73" s="30"/>
      <c r="W73" s="31"/>
      <c r="Y73" s="30">
        <v>4</v>
      </c>
      <c r="Z73" s="31" t="e">
        <f>VLOOKUP(CONCATENATE($D67," ",Y73),Setzlisten!$A:$E,5,0)</f>
        <v>#N/A</v>
      </c>
      <c r="AA73" s="30" t="e">
        <f>VLOOKUP(CONCATENATE($D69," ",Y73),Setzlisten!$A:$E,5,0)</f>
        <v>#N/A</v>
      </c>
      <c r="AB73" s="31">
        <v>4</v>
      </c>
      <c r="AD73" s="32"/>
    </row>
    <row r="74" s="11" customFormat="1" ht="24" customHeight="1">
      <c r="A74" s="71" t="s">
        <v>148</v>
      </c>
      <c r="C74" s="72">
        <f>IF(D74="",0,VLOOKUP(D74,$Z70:$AB84,3,0))</f>
        <v>0</v>
      </c>
      <c r="D74" s="73"/>
      <c r="E74" s="74"/>
      <c r="F74" s="75">
        <f>IF(G74="",0,VLOOKUP(G74,$AA70:$AB84,2,0))</f>
        <v>0</v>
      </c>
      <c r="G74" s="76"/>
      <c r="H74" s="148"/>
      <c r="I74" s="77"/>
      <c r="J74" s="78"/>
      <c r="K74" s="77"/>
      <c r="L74" s="78"/>
      <c r="M74" s="77"/>
      <c r="N74" s="79"/>
      <c r="O74" s="80" t="str">
        <f>IF(I74="","",SUM(I74,K74,M74))</f>
        <v/>
      </c>
      <c r="P74" s="81" t="str">
        <f>IF(J74="","",SUM(J74,L74,N74))</f>
        <v/>
      </c>
      <c r="Q74" s="82" t="str">
        <f>IF(I74="","",IF(I74&gt;J74,1,0)+IF(K74&gt;L74,1,0)+IF(M74="",0,IF(M74&gt;N74,1,0)))</f>
        <v/>
      </c>
      <c r="R74" s="83" t="str">
        <f>IF(I74="","",IF(J74&gt;I74,1,0)+IF(L74&gt;K74,1,0)+IF(M74="",0,IF(N74&gt;M74,1,0)))</f>
        <v/>
      </c>
      <c r="S74" s="84" t="str">
        <f>IF(I74="","",IF(Q74&gt;R74,1,0))</f>
        <v/>
      </c>
      <c r="T74" s="85" t="str">
        <f>IF(I74="","",IF(R74&gt;Q74,1,0))</f>
        <v/>
      </c>
      <c r="V74" s="86">
        <f>C74+C75</f>
        <v>0</v>
      </c>
      <c r="W74" s="87">
        <f>F74+F75</f>
        <v>0</v>
      </c>
      <c r="Y74" s="30">
        <v>5</v>
      </c>
      <c r="Z74" s="31" t="e">
        <f>VLOOKUP(CONCATENATE($D67," ",Y74),Setzlisten!$A:$E,5,0)</f>
        <v>#N/A</v>
      </c>
      <c r="AA74" s="30" t="e">
        <f>VLOOKUP(CONCATENATE($D69," ",Y74),Setzlisten!$A:$E,5,0)</f>
        <v>#N/A</v>
      </c>
      <c r="AB74" s="31">
        <v>5</v>
      </c>
      <c r="AD74" s="32"/>
    </row>
    <row r="75" s="11" customFormat="1" ht="24" customHeight="1">
      <c r="A75" s="88"/>
      <c r="C75" s="89">
        <f>IF(D75="",0,VLOOKUP(D75,$Z70:$AB84,3,0))</f>
        <v>0</v>
      </c>
      <c r="D75" s="90"/>
      <c r="E75" s="91"/>
      <c r="F75" s="92">
        <f>IF(G75="",0,VLOOKUP(G75,$AA70:$AB84,2,0))</f>
        <v>0</v>
      </c>
      <c r="G75" s="93"/>
      <c r="H75" s="148"/>
      <c r="I75" s="77"/>
      <c r="J75" s="78"/>
      <c r="K75" s="77"/>
      <c r="L75" s="78"/>
      <c r="M75" s="77"/>
      <c r="N75" s="79"/>
      <c r="O75" s="92"/>
      <c r="P75" s="94"/>
      <c r="Q75" s="89"/>
      <c r="R75" s="95"/>
      <c r="S75" s="96"/>
      <c r="T75" s="97"/>
      <c r="V75" s="98"/>
      <c r="W75" s="99"/>
      <c r="Y75" s="30">
        <v>6</v>
      </c>
      <c r="Z75" s="31" t="e">
        <f>VLOOKUP(CONCATENATE($D67," ",Y75),Setzlisten!$A:$E,5,0)</f>
        <v>#N/A</v>
      </c>
      <c r="AA75" s="30" t="e">
        <f>VLOOKUP(CONCATENATE($D69," ",Y75),Setzlisten!$A:$E,5,0)</f>
        <v>#N/A</v>
      </c>
      <c r="AB75" s="31">
        <v>6</v>
      </c>
      <c r="AD75" s="32"/>
    </row>
    <row r="76" s="11" customFormat="1" ht="24" customHeight="1">
      <c r="A76" s="71" t="s">
        <v>149</v>
      </c>
      <c r="C76" s="72">
        <f>IF(D76="",0,VLOOKUP(D76,$Z70:$AB84,3,0))</f>
        <v>0</v>
      </c>
      <c r="D76" s="73"/>
      <c r="E76" s="74"/>
      <c r="F76" s="75">
        <f>IF(G76="",0,VLOOKUP(G76,$AA70:$AB84,2,0))</f>
        <v>0</v>
      </c>
      <c r="G76" s="76"/>
      <c r="H76" s="148"/>
      <c r="I76" s="77"/>
      <c r="J76" s="100"/>
      <c r="K76" s="77"/>
      <c r="L76" s="78"/>
      <c r="M76" s="77"/>
      <c r="N76" s="79"/>
      <c r="O76" s="80" t="str">
        <f>IF(I76="","",SUM(I76,K76,M76))</f>
        <v/>
      </c>
      <c r="P76" s="81" t="str">
        <f t="shared" ref="P76:P81" si="29">IF(J76="","",SUM(J76,L76,N76))</f>
        <v/>
      </c>
      <c r="Q76" s="82" t="str">
        <f t="shared" ref="Q76:Q81" si="30">IF(I76="","",IF(I76&gt;J76,1,0)+IF(K76&gt;L76,1,0)+IF(M76="",0,IF(M76&gt;N76,1,0)))</f>
        <v/>
      </c>
      <c r="R76" s="83" t="str">
        <f t="shared" ref="R76:R81" si="31">IF(I76="","",IF(J76&gt;I76,1,0)+IF(L76&gt;K76,1,0)+IF(M76="",0,IF(N76&gt;M76,1,0)))</f>
        <v/>
      </c>
      <c r="S76" s="84" t="str">
        <f t="shared" ref="S76:S81" si="32">IF(I76="","",IF(Q76&gt;R76,1,0))</f>
        <v/>
      </c>
      <c r="T76" s="85" t="str">
        <f t="shared" ref="T76:T81" si="33">IF(I76="","",IF(R76&gt;Q76,1,0))</f>
        <v/>
      </c>
      <c r="V76" s="98">
        <f>C76+C77</f>
        <v>0</v>
      </c>
      <c r="W76" s="99">
        <f>F76+F77</f>
        <v>0</v>
      </c>
      <c r="Y76" s="30">
        <v>7</v>
      </c>
      <c r="Z76" s="31" t="e">
        <f>VLOOKUP(CONCATENATE($D67," ",Y76),Setzlisten!$A:$E,5,0)</f>
        <v>#N/A</v>
      </c>
      <c r="AA76" s="30" t="e">
        <f>VLOOKUP(CONCATENATE($D69," ",Y76),Setzlisten!$A:$E,5,0)</f>
        <v>#N/A</v>
      </c>
      <c r="AB76" s="31">
        <v>7</v>
      </c>
      <c r="AD76" s="101" t="s">
        <v>150</v>
      </c>
    </row>
    <row r="77" s="11" customFormat="1" ht="24" customHeight="1">
      <c r="A77" s="88"/>
      <c r="C77" s="89">
        <f>IF(D77="",0,VLOOKUP(D77,$Z70:$AB84,3,0))</f>
        <v>0</v>
      </c>
      <c r="D77" s="90"/>
      <c r="E77" s="91"/>
      <c r="F77" s="92">
        <f>IF(G77="",0,VLOOKUP(G77,$AA70:$AB84,2,0))</f>
        <v>0</v>
      </c>
      <c r="G77" s="93"/>
      <c r="H77" s="148"/>
      <c r="I77" s="77"/>
      <c r="J77" s="78"/>
      <c r="K77" s="77"/>
      <c r="L77" s="78"/>
      <c r="M77" s="77"/>
      <c r="N77" s="79"/>
      <c r="O77" s="92"/>
      <c r="P77" s="94"/>
      <c r="Q77" s="89"/>
      <c r="R77" s="95"/>
      <c r="S77" s="96"/>
      <c r="T77" s="97"/>
      <c r="V77" s="98"/>
      <c r="W77" s="99"/>
      <c r="Y77" s="30">
        <v>8</v>
      </c>
      <c r="Z77" s="31" t="e">
        <f>VLOOKUP(CONCATENATE($D67," ",Y77),Setzlisten!$A:$E,5,0)</f>
        <v>#N/A</v>
      </c>
      <c r="AA77" s="30" t="e">
        <f>VLOOKUP(CONCATENATE($D69," ",Y77),Setzlisten!$A:$E,5,0)</f>
        <v>#N/A</v>
      </c>
      <c r="AB77" s="31">
        <v>8</v>
      </c>
      <c r="AD77" s="101"/>
    </row>
    <row r="78" s="11" customFormat="1" ht="24" customHeight="1">
      <c r="A78" s="71" t="s">
        <v>151</v>
      </c>
      <c r="C78" s="72">
        <f>IF(D78="",0,VLOOKUP(D78,$Z70:$AB84,3,0))</f>
        <v>0</v>
      </c>
      <c r="D78" s="73"/>
      <c r="E78" s="74"/>
      <c r="F78" s="75">
        <f>IF(G78="",0,VLOOKUP(G78,$AA70:$AB84,2,0))</f>
        <v>0</v>
      </c>
      <c r="G78" s="76"/>
      <c r="H78" s="148"/>
      <c r="I78" s="77"/>
      <c r="J78" s="78"/>
      <c r="K78" s="77"/>
      <c r="L78" s="78"/>
      <c r="M78" s="77"/>
      <c r="N78" s="79"/>
      <c r="O78" s="80" t="str">
        <f>IF(I78="","",SUM(I78,K78,M78))</f>
        <v/>
      </c>
      <c r="P78" s="81" t="str">
        <f t="shared" si="29"/>
        <v/>
      </c>
      <c r="Q78" s="82" t="str">
        <f t="shared" si="30"/>
        <v/>
      </c>
      <c r="R78" s="83" t="str">
        <f t="shared" si="31"/>
        <v/>
      </c>
      <c r="S78" s="84" t="str">
        <f t="shared" si="32"/>
        <v/>
      </c>
      <c r="T78" s="85" t="str">
        <f t="shared" si="33"/>
        <v/>
      </c>
      <c r="V78" s="98">
        <f>C78+C79</f>
        <v>0</v>
      </c>
      <c r="W78" s="99">
        <f>F78+F79</f>
        <v>0</v>
      </c>
      <c r="Y78" s="30">
        <v>9</v>
      </c>
      <c r="Z78" s="31" t="e">
        <f>VLOOKUP(CONCATENATE($D67," ",Y78),Setzlisten!$A:$E,5,0)</f>
        <v>#N/A</v>
      </c>
      <c r="AA78" s="30" t="e">
        <f>VLOOKUP(CONCATENATE($D69," ",Y78),Setzlisten!$A:$E,5,0)</f>
        <v>#N/A</v>
      </c>
      <c r="AB78" s="31">
        <v>9</v>
      </c>
      <c r="AD78" s="32"/>
    </row>
    <row r="79" s="11" customFormat="1" ht="24" customHeight="1">
      <c r="A79" s="88"/>
      <c r="C79" s="89">
        <f>IF(D79="",0,VLOOKUP(D79,$Z70:$AB84,3,0))</f>
        <v>0</v>
      </c>
      <c r="D79" s="90"/>
      <c r="E79" s="91"/>
      <c r="F79" s="92">
        <f>IF(G79="",0,VLOOKUP(G79,$AA70:$AB84,2,0))</f>
        <v>0</v>
      </c>
      <c r="G79" s="93"/>
      <c r="H79" s="148"/>
      <c r="I79" s="77"/>
      <c r="J79" s="78"/>
      <c r="K79" s="77"/>
      <c r="L79" s="78"/>
      <c r="M79" s="77"/>
      <c r="N79" s="79"/>
      <c r="O79" s="92"/>
      <c r="P79" s="94"/>
      <c r="Q79" s="89"/>
      <c r="R79" s="95"/>
      <c r="S79" s="96"/>
      <c r="T79" s="97"/>
      <c r="V79" s="102"/>
      <c r="W79" s="103"/>
      <c r="Y79" s="30">
        <v>10</v>
      </c>
      <c r="Z79" s="31" t="e">
        <f>VLOOKUP(CONCATENATE($D67," ",Y79),Setzlisten!$A:$E,5,0)</f>
        <v>#N/A</v>
      </c>
      <c r="AA79" s="30" t="e">
        <f>VLOOKUP(CONCATENATE($D69," ",Y79),Setzlisten!$A:$E,5,0)</f>
        <v>#N/A</v>
      </c>
      <c r="AB79" s="31">
        <v>10</v>
      </c>
      <c r="AD79" s="32"/>
    </row>
    <row r="80" s="11" customFormat="1" ht="30" customHeight="1">
      <c r="A80" s="71" t="s">
        <v>152</v>
      </c>
      <c r="B80" s="104"/>
      <c r="C80" s="105">
        <f>IF(D80="",0,VLOOKUP(D80,$Z70:$AB84,3,0))</f>
        <v>0</v>
      </c>
      <c r="D80" s="106"/>
      <c r="E80" s="107"/>
      <c r="F80" s="108">
        <f>IF(G80="",0,VLOOKUP(G80,$AA70:$AB84,2,0))</f>
        <v>0</v>
      </c>
      <c r="G80" s="109"/>
      <c r="H80" s="148"/>
      <c r="I80" s="77"/>
      <c r="J80" s="78"/>
      <c r="K80" s="77"/>
      <c r="L80" s="78"/>
      <c r="M80" s="77"/>
      <c r="N80" s="79"/>
      <c r="O80" s="149" t="str">
        <f t="shared" ref="O80:O81" si="34">IF(I80="","",SUM(I80,K80,M80))</f>
        <v/>
      </c>
      <c r="P80" s="150" t="str">
        <f t="shared" si="29"/>
        <v/>
      </c>
      <c r="Q80" s="151" t="str">
        <f t="shared" si="30"/>
        <v/>
      </c>
      <c r="R80" s="152" t="str">
        <f t="shared" si="31"/>
        <v/>
      </c>
      <c r="S80" s="153" t="str">
        <f t="shared" si="32"/>
        <v/>
      </c>
      <c r="T80" s="154" t="str">
        <f t="shared" si="33"/>
        <v/>
      </c>
      <c r="V80" s="98">
        <f t="shared" ref="V80:V81" si="35">C80</f>
        <v>0</v>
      </c>
      <c r="W80" s="99">
        <f t="shared" ref="W80:W81" si="36">F80</f>
        <v>0</v>
      </c>
      <c r="Y80" s="30">
        <v>11</v>
      </c>
      <c r="Z80" s="31" t="e">
        <f>VLOOKUP(CONCATENATE($D67," ",Y80),Setzlisten!$A:$E,5,0)</f>
        <v>#N/A</v>
      </c>
      <c r="AA80" s="30" t="e">
        <f>VLOOKUP(CONCATENATE($D69," ",Y80),Setzlisten!$A:$E,5,0)</f>
        <v>#N/A</v>
      </c>
      <c r="AB80" s="31">
        <v>11</v>
      </c>
      <c r="AD80" s="32"/>
    </row>
    <row r="81" s="11" customFormat="1" ht="30" customHeight="1">
      <c r="A81" s="71" t="s">
        <v>153</v>
      </c>
      <c r="B81" s="104"/>
      <c r="C81" s="105">
        <f>IF(D81="",0,VLOOKUP(D81,$Z70:$AB84,3,0))</f>
        <v>0</v>
      </c>
      <c r="D81" s="106"/>
      <c r="E81" s="107"/>
      <c r="F81" s="108">
        <f>IF(G81="",0,VLOOKUP(G81,$AA70:$AB84,2,0))</f>
        <v>0</v>
      </c>
      <c r="G81" s="109"/>
      <c r="H81" s="148"/>
      <c r="I81" s="77"/>
      <c r="J81" s="78"/>
      <c r="K81" s="77"/>
      <c r="L81" s="78"/>
      <c r="M81" s="77"/>
      <c r="N81" s="79"/>
      <c r="O81" s="149" t="str">
        <f t="shared" si="34"/>
        <v/>
      </c>
      <c r="P81" s="150" t="str">
        <f t="shared" si="29"/>
        <v/>
      </c>
      <c r="Q81" s="151" t="str">
        <f t="shared" si="30"/>
        <v/>
      </c>
      <c r="R81" s="152" t="str">
        <f t="shared" si="31"/>
        <v/>
      </c>
      <c r="S81" s="153" t="str">
        <f t="shared" si="32"/>
        <v/>
      </c>
      <c r="T81" s="154" t="str">
        <f t="shared" si="33"/>
        <v/>
      </c>
      <c r="V81" s="102">
        <f t="shared" si="35"/>
        <v>0</v>
      </c>
      <c r="W81" s="103">
        <f t="shared" si="36"/>
        <v>0</v>
      </c>
      <c r="Y81" s="30">
        <v>12</v>
      </c>
      <c r="Z81" s="31" t="e">
        <f>VLOOKUP(CONCATENATE($D67," ",Y81),Setzlisten!$A:$E,5,0)</f>
        <v>#N/A</v>
      </c>
      <c r="AA81" s="30" t="e">
        <f>VLOOKUP(CONCATENATE($D69," ",Y81),Setzlisten!$A:$E,5,0)</f>
        <v>#N/A</v>
      </c>
      <c r="AB81" s="31">
        <v>12</v>
      </c>
      <c r="AD81" s="32"/>
    </row>
    <row r="82" s="70" customFormat="1" ht="9">
      <c r="Y82" s="30">
        <v>13</v>
      </c>
      <c r="Z82" s="31" t="e">
        <f>VLOOKUP(CONCATENATE($D67," ",Y82),Setzlisten!$A:$E,5,0)</f>
        <v>#N/A</v>
      </c>
      <c r="AA82" s="30" t="e">
        <f>VLOOKUP(CONCATENATE($D69," ",Y82),Setzlisten!$A:$E,5,0)</f>
        <v>#N/A</v>
      </c>
      <c r="AB82" s="31">
        <v>13</v>
      </c>
      <c r="AD82" s="32"/>
    </row>
    <row r="83" s="11" customFormat="1" ht="15.75">
      <c r="A83" s="114" t="s">
        <v>154</v>
      </c>
      <c r="B83" s="34"/>
      <c r="C83" s="115" t="s">
        <v>155</v>
      </c>
      <c r="D83" s="116"/>
      <c r="E83" s="117" t="str">
        <f>IF(S83="","",IF(S83&gt;T83,D67,D69))</f>
        <v/>
      </c>
      <c r="F83" s="118"/>
      <c r="G83" s="119"/>
      <c r="I83" s="115" t="s">
        <v>156</v>
      </c>
      <c r="J83" s="120"/>
      <c r="K83" s="120"/>
      <c r="L83" s="120"/>
      <c r="M83" s="120"/>
      <c r="N83" s="116"/>
      <c r="O83" s="82" t="str">
        <f t="shared" ref="O83:T83" si="37">IF(O74="","",SUM(O74:O81))</f>
        <v/>
      </c>
      <c r="P83" s="121" t="str">
        <f t="shared" si="37"/>
        <v/>
      </c>
      <c r="Q83" s="82" t="str">
        <f t="shared" si="37"/>
        <v/>
      </c>
      <c r="R83" s="121" t="str">
        <f t="shared" si="37"/>
        <v/>
      </c>
      <c r="S83" s="82" t="str">
        <f t="shared" si="37"/>
        <v/>
      </c>
      <c r="T83" s="122" t="str">
        <f t="shared" si="37"/>
        <v/>
      </c>
      <c r="Y83" s="30">
        <v>14</v>
      </c>
      <c r="Z83" s="31" t="e">
        <f>VLOOKUP(CONCATENATE($D67," ",Y83),Setzlisten!$A:$E,5,0)</f>
        <v>#N/A</v>
      </c>
      <c r="AA83" s="30" t="e">
        <f>VLOOKUP(CONCATENATE($D69," ",Y83),Setzlisten!$A:$E,5,0)</f>
        <v>#N/A</v>
      </c>
      <c r="AB83" s="31">
        <v>14</v>
      </c>
      <c r="AD83" s="32"/>
    </row>
    <row r="84" s="11" customFormat="1" ht="23.25">
      <c r="A84" s="53">
        <f>A53</f>
        <v>0.4375</v>
      </c>
      <c r="B84" s="34"/>
      <c r="C84" s="123"/>
      <c r="D84" s="124"/>
      <c r="E84" s="125"/>
      <c r="F84" s="126"/>
      <c r="G84" s="127"/>
      <c r="I84" s="123"/>
      <c r="J84" s="128"/>
      <c r="K84" s="128"/>
      <c r="L84" s="128"/>
      <c r="M84" s="128"/>
      <c r="N84" s="124"/>
      <c r="O84" s="129"/>
      <c r="P84" s="130"/>
      <c r="Q84" s="129"/>
      <c r="R84" s="130"/>
      <c r="S84" s="129"/>
      <c r="T84" s="131"/>
      <c r="Y84" s="132">
        <v>15</v>
      </c>
      <c r="Z84" s="133" t="e">
        <f>VLOOKUP(CONCATENATE($D67," ",Y84),Setzlisten!$A:$E,5,0)</f>
        <v>#N/A</v>
      </c>
      <c r="AA84" s="132" t="e">
        <f>VLOOKUP(CONCATENATE($D69," ",Y84),Setzlisten!$A:$E,5,0)</f>
        <v>#N/A</v>
      </c>
      <c r="AB84" s="133">
        <v>15</v>
      </c>
    </row>
    <row r="85" s="11" customFormat="1" ht="15" customHeight="1">
      <c r="A85" s="15"/>
    </row>
    <row r="86" s="11" customFormat="1" ht="30" customHeight="1">
      <c r="B86" s="21"/>
      <c r="C86" s="21"/>
      <c r="D86" s="134" t="s">
        <v>157</v>
      </c>
      <c r="E86" s="134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</row>
    <row r="87" s="11" customFormat="1">
      <c r="A87" s="14"/>
      <c r="P87" s="136"/>
      <c r="Q87" s="136"/>
      <c r="R87" s="136"/>
      <c r="S87" s="136"/>
      <c r="T87" s="136"/>
    </row>
    <row r="88" s="11" customFormat="1" ht="30" customHeight="1">
      <c r="A88" s="137" t="s">
        <v>158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</row>
    <row r="89" s="11" customFormat="1" ht="36" customHeight="1">
      <c r="A89" s="139" t="str">
        <f>Allgemeines!$B$3</f>
        <v>Hamburg</v>
      </c>
      <c r="B89" s="139"/>
      <c r="C89" s="139"/>
      <c r="D89" s="139"/>
      <c r="E89" s="140">
        <f>Allgemeines!$B$4</f>
        <v>46023</v>
      </c>
      <c r="G89" s="141"/>
      <c r="J89" s="141"/>
      <c r="K89" s="141"/>
      <c r="L89" s="141"/>
      <c r="M89" s="141"/>
      <c r="N89" s="141"/>
      <c r="P89" s="141"/>
      <c r="Q89" s="141"/>
      <c r="R89" s="141"/>
      <c r="S89" s="141"/>
      <c r="T89" s="141"/>
    </row>
    <row r="90" s="11" customFormat="1">
      <c r="A90" s="142"/>
      <c r="B90" s="142"/>
      <c r="C90" s="142"/>
      <c r="D90" s="142"/>
      <c r="E90" s="143"/>
      <c r="G90" s="144"/>
      <c r="J90" s="144"/>
      <c r="K90" s="144"/>
      <c r="L90" s="144"/>
      <c r="M90" s="144"/>
      <c r="N90" s="144"/>
      <c r="P90" s="144"/>
      <c r="Q90" s="144"/>
      <c r="R90" s="144"/>
      <c r="S90" s="144"/>
      <c r="T90" s="144"/>
    </row>
    <row r="91" s="11" customFormat="1" ht="15.75">
      <c r="A91" s="145" t="s">
        <v>159</v>
      </c>
      <c r="B91" s="145"/>
      <c r="C91" s="145"/>
      <c r="D91" s="145"/>
      <c r="E91" s="145" t="s">
        <v>160</v>
      </c>
      <c r="F91" s="40"/>
      <c r="G91" s="145" t="s">
        <v>2</v>
      </c>
      <c r="H91" s="40"/>
      <c r="I91" s="40"/>
      <c r="J91" s="146" t="s">
        <v>161</v>
      </c>
      <c r="K91" s="146"/>
      <c r="L91" s="146"/>
      <c r="M91" s="146"/>
      <c r="N91" s="146"/>
      <c r="O91" s="40"/>
      <c r="P91" s="146" t="s">
        <v>162</v>
      </c>
      <c r="Q91" s="146"/>
      <c r="R91" s="146"/>
      <c r="S91" s="146"/>
      <c r="T91" s="146"/>
    </row>
    <row r="92">
      <c r="G92" s="147" t="s">
        <v>163</v>
      </c>
      <c r="J92" s="147" t="s">
        <v>164</v>
      </c>
      <c r="K92" s="147"/>
      <c r="L92" s="147"/>
      <c r="M92" s="147"/>
      <c r="N92" s="147"/>
      <c r="P92" s="147" t="s">
        <v>165</v>
      </c>
      <c r="Q92" s="147"/>
      <c r="R92" s="147"/>
      <c r="S92" s="147"/>
      <c r="T92" s="147"/>
    </row>
    <row r="93">
      <c r="G93" s="141" t="str">
        <f>Allgemeines!$D$2</f>
        <v xml:space="preserve">George Washington</v>
      </c>
      <c r="J93" s="141" t="str">
        <f>IF(D67="","",VLOOKUP(D67,Allgemeines!$B$7:$D$12,3,0))</f>
        <v/>
      </c>
      <c r="K93" s="141"/>
      <c r="L93" s="141"/>
      <c r="M93" s="141"/>
      <c r="N93" s="141"/>
      <c r="P93" s="141" t="str">
        <f>IF(D69="","",VLOOKUP(D69,Allgemeines!$B$7:$D$12,3,0))</f>
        <v/>
      </c>
      <c r="Q93" s="141"/>
      <c r="R93" s="141"/>
      <c r="S93" s="141"/>
      <c r="T93" s="141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97">
    <mergeCell ref="F1:N3"/>
    <mergeCell ref="A5:C5"/>
    <mergeCell ref="D5:H5"/>
    <mergeCell ref="A7:C7"/>
    <mergeCell ref="D7:H7"/>
    <mergeCell ref="J7:L7"/>
    <mergeCell ref="AD8:AD13"/>
    <mergeCell ref="C9:C10"/>
    <mergeCell ref="D9:E10"/>
    <mergeCell ref="F9:F10"/>
    <mergeCell ref="G9:G10"/>
    <mergeCell ref="I9:J10"/>
    <mergeCell ref="K9:L10"/>
    <mergeCell ref="M9:N10"/>
    <mergeCell ref="O9:P9"/>
    <mergeCell ref="Q9:R9"/>
    <mergeCell ref="S9:T9"/>
    <mergeCell ref="V9:V10"/>
    <mergeCell ref="W9:W10"/>
    <mergeCell ref="A12:A13"/>
    <mergeCell ref="D12:E12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V12:V13"/>
    <mergeCell ref="W12:W13"/>
    <mergeCell ref="D13:E13"/>
    <mergeCell ref="A14:A15"/>
    <mergeCell ref="D14:E14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V14:V15"/>
    <mergeCell ref="W14:W15"/>
    <mergeCell ref="AD14:AD15"/>
    <mergeCell ref="D15:E15"/>
    <mergeCell ref="A16:A17"/>
    <mergeCell ref="D16:E16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V16:V17"/>
    <mergeCell ref="W16:W17"/>
    <mergeCell ref="AD16:AD21"/>
    <mergeCell ref="D17:E17"/>
    <mergeCell ref="D18:E18"/>
    <mergeCell ref="D19:E19"/>
    <mergeCell ref="C21:D22"/>
    <mergeCell ref="E21:G22"/>
    <mergeCell ref="I21:N22"/>
    <mergeCell ref="O21:O22"/>
    <mergeCell ref="P21:P22"/>
    <mergeCell ref="Q21:Q22"/>
    <mergeCell ref="R21:R22"/>
    <mergeCell ref="S21:S22"/>
    <mergeCell ref="T21:T22"/>
    <mergeCell ref="D24:E24"/>
    <mergeCell ref="F24:T24"/>
    <mergeCell ref="P25:T25"/>
    <mergeCell ref="A26:T26"/>
    <mergeCell ref="A27:D28"/>
    <mergeCell ref="E27:E28"/>
    <mergeCell ref="G27:G28"/>
    <mergeCell ref="J27:N28"/>
    <mergeCell ref="P27:T28"/>
    <mergeCell ref="A29:D29"/>
    <mergeCell ref="J29:N29"/>
    <mergeCell ref="P29:T29"/>
    <mergeCell ref="J30:N30"/>
    <mergeCell ref="P30:T30"/>
    <mergeCell ref="J31:N31"/>
    <mergeCell ref="P31:T31"/>
    <mergeCell ref="F32:N34"/>
    <mergeCell ref="A36:C36"/>
    <mergeCell ref="D36:H36"/>
    <mergeCell ref="A38:C38"/>
    <mergeCell ref="D38:H38"/>
    <mergeCell ref="J38:L38"/>
    <mergeCell ref="AD39:AD44"/>
    <mergeCell ref="C40:C41"/>
    <mergeCell ref="D40:E41"/>
    <mergeCell ref="F40:F41"/>
    <mergeCell ref="G40:G41"/>
    <mergeCell ref="I40:J41"/>
    <mergeCell ref="K40:L41"/>
    <mergeCell ref="M40:N41"/>
    <mergeCell ref="O40:P40"/>
    <mergeCell ref="Q40:R40"/>
    <mergeCell ref="S40:T40"/>
    <mergeCell ref="V40:V41"/>
    <mergeCell ref="W40:W41"/>
    <mergeCell ref="A43:A44"/>
    <mergeCell ref="D43:E43"/>
    <mergeCell ref="I43:I44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S43:S44"/>
    <mergeCell ref="T43:T44"/>
    <mergeCell ref="V43:V44"/>
    <mergeCell ref="W43:W44"/>
    <mergeCell ref="D44:E44"/>
    <mergeCell ref="A45:A46"/>
    <mergeCell ref="D45:E45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V45:V46"/>
    <mergeCell ref="W45:W46"/>
    <mergeCell ref="AD45:AD46"/>
    <mergeCell ref="D46:E46"/>
    <mergeCell ref="A47:A48"/>
    <mergeCell ref="D47:E47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V47:V48"/>
    <mergeCell ref="W47:W48"/>
    <mergeCell ref="AD47:AD52"/>
    <mergeCell ref="D48:E48"/>
    <mergeCell ref="D49:E49"/>
    <mergeCell ref="D50:E50"/>
    <mergeCell ref="C52:D53"/>
    <mergeCell ref="E52:G53"/>
    <mergeCell ref="I52:N53"/>
    <mergeCell ref="O52:O53"/>
    <mergeCell ref="P52:P53"/>
    <mergeCell ref="Q52:Q53"/>
    <mergeCell ref="R52:R53"/>
    <mergeCell ref="S52:S53"/>
    <mergeCell ref="T52:T53"/>
    <mergeCell ref="D55:E55"/>
    <mergeCell ref="F55:T55"/>
    <mergeCell ref="P56:T56"/>
    <mergeCell ref="A57:T57"/>
    <mergeCell ref="A58:D59"/>
    <mergeCell ref="E58:E59"/>
    <mergeCell ref="G58:G59"/>
    <mergeCell ref="J58:N59"/>
    <mergeCell ref="P58:T59"/>
    <mergeCell ref="A60:D60"/>
    <mergeCell ref="J60:N60"/>
    <mergeCell ref="P60:T60"/>
    <mergeCell ref="J61:N61"/>
    <mergeCell ref="P61:T61"/>
    <mergeCell ref="J62:N62"/>
    <mergeCell ref="P62:T62"/>
    <mergeCell ref="F63:N65"/>
    <mergeCell ref="A67:C67"/>
    <mergeCell ref="D67:H67"/>
    <mergeCell ref="A69:C69"/>
    <mergeCell ref="D69:H69"/>
    <mergeCell ref="J69:L69"/>
    <mergeCell ref="AD70:AD75"/>
    <mergeCell ref="C71:C72"/>
    <mergeCell ref="D71:E72"/>
    <mergeCell ref="F71:F72"/>
    <mergeCell ref="G71:G72"/>
    <mergeCell ref="I71:J72"/>
    <mergeCell ref="K71:L72"/>
    <mergeCell ref="M71:N72"/>
    <mergeCell ref="O71:P71"/>
    <mergeCell ref="Q71:R71"/>
    <mergeCell ref="S71:T71"/>
    <mergeCell ref="V71:V72"/>
    <mergeCell ref="W71:W72"/>
    <mergeCell ref="A74:A75"/>
    <mergeCell ref="D74:E74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V74:V75"/>
    <mergeCell ref="W74:W75"/>
    <mergeCell ref="D75:E75"/>
    <mergeCell ref="A76:A77"/>
    <mergeCell ref="D76:E76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V76:V77"/>
    <mergeCell ref="W76:W77"/>
    <mergeCell ref="AD76:AD77"/>
    <mergeCell ref="D77:E77"/>
    <mergeCell ref="A78:A79"/>
    <mergeCell ref="D78:E78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V78:V79"/>
    <mergeCell ref="W78:W79"/>
    <mergeCell ref="AD78:AD83"/>
    <mergeCell ref="D79:E79"/>
    <mergeCell ref="D80:E80"/>
    <mergeCell ref="D81:E81"/>
    <mergeCell ref="C83:D84"/>
    <mergeCell ref="E83:G84"/>
    <mergeCell ref="I83:N84"/>
    <mergeCell ref="O83:O84"/>
    <mergeCell ref="P83:P84"/>
    <mergeCell ref="Q83:Q84"/>
    <mergeCell ref="R83:R84"/>
    <mergeCell ref="S83:S84"/>
    <mergeCell ref="T83:T84"/>
    <mergeCell ref="D86:E86"/>
    <mergeCell ref="F86:T86"/>
    <mergeCell ref="P87:T87"/>
    <mergeCell ref="A88:T88"/>
    <mergeCell ref="A89:D90"/>
    <mergeCell ref="E89:E90"/>
    <mergeCell ref="G89:G90"/>
    <mergeCell ref="J89:N90"/>
    <mergeCell ref="P89:T90"/>
    <mergeCell ref="A91:D91"/>
    <mergeCell ref="J91:N91"/>
    <mergeCell ref="P91:T91"/>
    <mergeCell ref="J92:N92"/>
    <mergeCell ref="P92:T92"/>
    <mergeCell ref="J93:N93"/>
    <mergeCell ref="P93:T93"/>
  </mergeCells>
  <dataValidations count="1" disablePrompts="0">
    <dataValidation sqref="D5:H5 D7:H7 D36:H36 D38:H38 D67:H67 D69:H69" type="list" allowBlank="1" errorStyle="stop" imeMode="noControl" operator="between" showDropDown="0" showErrorMessage="1" showInputMessage="1">
      <formula1>Allgemeines!$B$7:$B$12</formula1>
    </dataValidation>
  </dataValidations>
  <printOptions headings="0" gridLines="0"/>
  <pageMargins left="0.70866141732283472" right="0.70866141732283472" top="0.78740157480314954" bottom="0" header="0.70866141732283472" footer="0.31496062992125984"/>
  <pageSetup paperSize="9" scale="77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&amp;R&amp;G</oddHeader>
  </headerFooter>
  <rowBreaks count="2" manualBreakCount="2">
    <brk id="31" man="1" max="19"/>
    <brk id="62" man="1" max="19"/>
  </rowBreaks>
  <legacyDrawingHF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" operator="equal" id="{00BF00EF-0062-4AC8-A42C-003A00AD008C}">
            <xm:f>0</xm:f>
            <x14:dxf>
              <font>
                <color theme="0"/>
              </font>
            </x14:dxf>
          </x14:cfRule>
          <xm:sqref>C12:C19 F12:F19</xm:sqref>
        </x14:conditionalFormatting>
        <x14:conditionalFormatting xmlns:xm="http://schemas.microsoft.com/office/excel/2006/main">
          <x14:cfRule type="cellIs" priority="5" operator="equal" id="{0061008D-005B-43D7-8851-00D9005D0062}">
            <xm:f>0</xm:f>
            <x14:dxf>
              <font>
                <color theme="0"/>
              </font>
            </x14:dxf>
          </x14:cfRule>
          <xm:sqref>C43:C50</xm:sqref>
        </x14:conditionalFormatting>
        <x14:conditionalFormatting xmlns:xm="http://schemas.microsoft.com/office/excel/2006/main">
          <x14:cfRule type="cellIs" priority="3" operator="equal" id="{00770091-0017-4882-90C1-00CC00BA0088}">
            <xm:f>0</xm:f>
            <x14:dxf>
              <font>
                <color theme="0"/>
              </font>
            </x14:dxf>
          </x14:cfRule>
          <xm:sqref>C74:C81</xm:sqref>
        </x14:conditionalFormatting>
        <x14:conditionalFormatting xmlns:xm="http://schemas.microsoft.com/office/excel/2006/main">
          <x14:cfRule type="cellIs" priority="2" operator="equal" id="{0098009D-00AA-430C-BB6D-00FF00B600EA}">
            <xm:f>0</xm:f>
            <x14:dxf>
              <font>
                <color theme="0"/>
              </font>
            </x14:dxf>
          </x14:cfRule>
          <xm:sqref>F43:F50</xm:sqref>
        </x14:conditionalFormatting>
        <x14:conditionalFormatting xmlns:xm="http://schemas.microsoft.com/office/excel/2006/main">
          <x14:cfRule type="cellIs" priority="1" operator="equal" id="{009C00DF-00AE-403A-BFF1-00BF00D70057}">
            <xm:f>0</xm:f>
            <x14:dxf>
              <font>
                <color theme="0"/>
              </font>
            </x14:dxf>
          </x14:cfRule>
          <xm:sqref>F74:F81</xm:sqref>
        </x14:conditionalFormatting>
        <x14:conditionalFormatting xmlns:xm="http://schemas.microsoft.com/office/excel/2006/main">
          <x14:cfRule type="cellIs" priority="12" operator="greaterThan" stopIfTrue="1" id="{009B0044-00AA-4B13-8E1B-001D00B8000B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I12:N19</xm:sqref>
        </x14:conditionalFormatting>
        <x14:conditionalFormatting xmlns:xm="http://schemas.microsoft.com/office/excel/2006/main">
          <x14:cfRule type="cellIs" priority="6" operator="greaterThan" stopIfTrue="1" id="{0011005F-0009-4727-BF1E-007800100065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I43:N50</xm:sqref>
        </x14:conditionalFormatting>
        <x14:conditionalFormatting xmlns:xm="http://schemas.microsoft.com/office/excel/2006/main">
          <x14:cfRule type="cellIs" priority="4" operator="greaterThan" stopIfTrue="1" id="{00600064-0016-4408-8BDF-0079005E00BF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I74:N81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6" disablePrompts="0">
        <x14:dataValidation xr:uid="{00DC00C3-005F-45D1-AE7F-0080002300ED}" type="list" allowBlank="1" errorStyle="stop" imeMode="noControl" operator="between" showDropDown="0" showErrorMessage="1" showInputMessage="1">
          <x14:formula1>
            <xm:f>$Z8:$Z22</xm:f>
          </x14:formula1>
          <xm:sqref>D12:E12 D43:E43 D74:E74</xm:sqref>
        </x14:dataValidation>
        <x14:dataValidation xr:uid="{00F000C5-0003-488B-8C81-00BF00E10017}" type="list" allowBlank="1" errorStyle="stop" imeMode="noControl" operator="between" showDropDown="0" showErrorMessage="1" showInputMessage="1">
          <x14:formula1>
            <xm:f>$Z8:$Z22</xm:f>
          </x14:formula1>
          <xm:sqref>D13:E13 D44:E44 D75:E75</xm:sqref>
        </x14:dataValidation>
        <x14:dataValidation xr:uid="{0007004D-0037-4A47-BADD-00D8003E0014}" type="list" allowBlank="1" errorStyle="stop" imeMode="noControl" operator="between" showDropDown="0" showErrorMessage="1" showInputMessage="1">
          <x14:formula1>
            <xm:f>$Z8:$Z22</xm:f>
          </x14:formula1>
          <xm:sqref>D14:E14 D45:E45 D76:E76</xm:sqref>
        </x14:dataValidation>
        <x14:dataValidation xr:uid="{00C900FD-0036-4FDC-ABC3-00D200C60095}" type="list" allowBlank="1" errorStyle="stop" imeMode="noControl" operator="between" showDropDown="0" showErrorMessage="1" showInputMessage="1">
          <x14:formula1>
            <xm:f>$Z8:$Z22</xm:f>
          </x14:formula1>
          <xm:sqref>D15:E15 D46:E46 D77:E77</xm:sqref>
        </x14:dataValidation>
        <x14:dataValidation xr:uid="{00F30007-00B4-4FDC-ADC6-00F1007D0059}" type="list" allowBlank="1" errorStyle="stop" imeMode="noControl" operator="between" showDropDown="0" showErrorMessage="1" showInputMessage="1">
          <x14:formula1>
            <xm:f>$Z8:$Z22</xm:f>
          </x14:formula1>
          <xm:sqref>D16:E16 D47:E47 D78:E78</xm:sqref>
        </x14:dataValidation>
        <x14:dataValidation xr:uid="{00DE0011-00E3-4FCA-A2C3-001D00C60095}" type="list" allowBlank="1" errorStyle="stop" imeMode="noControl" operator="between" showDropDown="0" showErrorMessage="1" showInputMessage="1">
          <x14:formula1>
            <xm:f>$Z8:$Z22</xm:f>
          </x14:formula1>
          <xm:sqref>D17:E17 D48:E48 D79:E79</xm:sqref>
        </x14:dataValidation>
        <x14:dataValidation xr:uid="{00B5006F-0066-4D20-B82E-001900E90021}" type="list" allowBlank="1" errorStyle="stop" imeMode="noControl" operator="between" showDropDown="0" showErrorMessage="1" showInputMessage="1">
          <x14:formula1>
            <xm:f>$Z8:$Z22</xm:f>
          </x14:formula1>
          <xm:sqref>D18:E18 D49:E49 D80:E80</xm:sqref>
        </x14:dataValidation>
        <x14:dataValidation xr:uid="{00D200D2-0050-4B78-8F41-00530042002C}" type="list" allowBlank="1" errorStyle="stop" imeMode="noControl" operator="between" showDropDown="0" showErrorMessage="1" showInputMessage="1">
          <x14:formula1>
            <xm:f>$Z8:$Z22</xm:f>
          </x14:formula1>
          <xm:sqref>D19:E19 D50:E50 D81:E81</xm:sqref>
        </x14:dataValidation>
        <x14:dataValidation xr:uid="{000D009E-0003-4077-8E40-00FC00C300CE}" type="list" allowBlank="1" errorStyle="stop" imeMode="noControl" operator="between" showDropDown="0" showErrorMessage="1" showInputMessage="1">
          <x14:formula1>
            <xm:f>$AA8:$AA22</xm:f>
          </x14:formula1>
          <xm:sqref>G12 G43 G74</xm:sqref>
        </x14:dataValidation>
        <x14:dataValidation xr:uid="{00BF0072-003F-459E-9662-002E00BB00CA}" type="list" allowBlank="1" errorStyle="stop" imeMode="noControl" operator="between" showDropDown="0" showErrorMessage="1" showInputMessage="1">
          <x14:formula1>
            <xm:f>$AA8:$AA22</xm:f>
          </x14:formula1>
          <xm:sqref>G13 G44 G75</xm:sqref>
        </x14:dataValidation>
        <x14:dataValidation xr:uid="{001E00FF-0097-4BF2-908C-0028008B0029}" type="list" allowBlank="1" errorStyle="stop" imeMode="noControl" operator="between" showDropDown="0" showErrorMessage="1" showInputMessage="1">
          <x14:formula1>
            <xm:f>$AA8:$AA22</xm:f>
          </x14:formula1>
          <xm:sqref>G14 G45 G76</xm:sqref>
        </x14:dataValidation>
        <x14:dataValidation xr:uid="{00700024-00F9-49A2-A615-0027005200D9}" type="list" allowBlank="1" errorStyle="stop" imeMode="noControl" operator="between" showDropDown="0" showErrorMessage="1" showInputMessage="1">
          <x14:formula1>
            <xm:f>$AA8:$AA22</xm:f>
          </x14:formula1>
          <xm:sqref>G15 G46 G77</xm:sqref>
        </x14:dataValidation>
        <x14:dataValidation xr:uid="{00EE0040-00B9-4B24-80E3-001B002000BC}" type="list" allowBlank="1" errorStyle="stop" imeMode="noControl" operator="between" showDropDown="0" showErrorMessage="1" showInputMessage="1">
          <x14:formula1>
            <xm:f>$AA8:$AA22</xm:f>
          </x14:formula1>
          <xm:sqref>G16 G47 G78</xm:sqref>
        </x14:dataValidation>
        <x14:dataValidation xr:uid="{00D700D2-00F4-4BAE-8A82-0082006E0074}" type="list" allowBlank="1" errorStyle="stop" imeMode="noControl" operator="between" showDropDown="0" showErrorMessage="1" showInputMessage="1">
          <x14:formula1>
            <xm:f>$AA8:$AA22</xm:f>
          </x14:formula1>
          <xm:sqref>G17 G48 G79</xm:sqref>
        </x14:dataValidation>
        <x14:dataValidation xr:uid="{006B0090-001F-4C92-A8BA-002000FA007F}" type="list" allowBlank="1" errorStyle="stop" imeMode="noControl" operator="between" showDropDown="0" showErrorMessage="1" showInputMessage="1">
          <x14:formula1>
            <xm:f>$AA8:$AA22</xm:f>
          </x14:formula1>
          <xm:sqref>G18 G49 G80</xm:sqref>
        </x14:dataValidation>
        <x14:dataValidation xr:uid="{006C0084-00E1-4FB0-9D6B-00BD00B70071}" type="list" allowBlank="1" errorStyle="stop" imeMode="noControl" operator="between" showDropDown="0" showErrorMessage="1" showInputMessage="1">
          <x14:formula1>
            <xm:f>$AA8:$AA22</xm:f>
          </x14:formula1>
          <xm:sqref>G19 G50 G81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view="pageBreakPreview" topLeftCell="A69" zoomScale="85" workbookViewId="0">
      <selection activeCell="D5" activeCellId="0" sqref="D5:H5"/>
    </sheetView>
  </sheetViews>
  <sheetFormatPr baseColWidth="10" defaultColWidth="11.42578125" defaultRowHeight="14.25"/>
  <cols>
    <col customWidth="1" min="1" max="1" style="8" width="11"/>
    <col customWidth="1" min="2" max="2" style="8" width="1.42578125"/>
    <col customWidth="1" min="3" max="3" style="8" width="5.7109375"/>
    <col customWidth="1" min="4" max="4" style="8" width="10.140625"/>
    <col customWidth="1" min="5" max="5" style="8" width="19.85546875"/>
    <col customWidth="1" min="6" max="6" style="8" width="5.7109375"/>
    <col customWidth="1" min="7" max="7" style="8" width="28.140625"/>
    <col customWidth="1" min="8" max="8" style="8" width="0.85546875"/>
    <col customWidth="1" min="9" max="20" style="8" width="7.85546875"/>
    <col customWidth="1" min="21" max="21" style="8" width="0.85546875"/>
    <col customWidth="1" min="22" max="23" style="8" width="7.85546875"/>
    <col min="24" max="24" style="8" width="11.42578125"/>
    <col customWidth="1" min="25" max="25" style="8" width="2.85546875"/>
    <col min="26" max="27" style="8" width="11.42578125"/>
    <col bestFit="1" customWidth="1" min="28" max="28" style="8" width="2.85546875"/>
    <col min="29" max="29" style="8" width="11.42578125"/>
    <col customWidth="1" min="30" max="30" style="8" width="111.42578125"/>
    <col min="31" max="16384" style="8" width="11.42578125"/>
  </cols>
  <sheetData>
    <row r="1" ht="21">
      <c r="A1" s="9" t="s">
        <v>120</v>
      </c>
      <c r="F1" s="10" t="str">
        <f>IF(V12&gt;V14,CONCATENATE("Achtung! Teamreihenfolge ",D5," nicht richtig! 1. und 2. Doppel tauschen."),IF(V14&gt;V16,CONCATENATE("Achtung! Teamreihenfolge ",D5," nicht richtig! 2. und 3. Doppel tauschen."),IF(AND(V18&gt;=V19,V19&gt;0),CONCATENATE("Achtung! Teamreihenfolge ",D5," nicht richtig! Beide Einzel tauschen."),IF(W12&gt;W14,CONCATENATE("Achtung! Teamreihenfolge ",D7," nicht richtig! 1. und 2. Doppel tauschen."),IF(W14&gt;W16,CONCATENATE("Achtung! Teamreihenfolge ",D7," nicht richtig! 2. und 3. Doppel tauschen."),IF(AND(W18&gt;=W19,W19&gt;0),CONCATENATE("Achtung! Teamreihenfolge ",D7," nicht richtig! Beide Einzel tauschen."),""))))))</f>
        <v/>
      </c>
      <c r="G1" s="10"/>
      <c r="H1" s="10"/>
      <c r="I1" s="10"/>
      <c r="J1" s="10"/>
      <c r="K1" s="10"/>
      <c r="L1" s="10"/>
      <c r="M1" s="10"/>
      <c r="N1" s="10"/>
    </row>
    <row r="2" s="11" customFormat="1" ht="26.25">
      <c r="A2" s="12" t="s">
        <v>121</v>
      </c>
      <c r="B2" s="12"/>
      <c r="C2" s="12"/>
      <c r="D2" s="12"/>
      <c r="E2" s="12"/>
      <c r="F2" s="10"/>
      <c r="G2" s="10"/>
      <c r="H2" s="10"/>
      <c r="I2" s="10"/>
      <c r="J2" s="10"/>
      <c r="K2" s="10"/>
      <c r="L2" s="10"/>
      <c r="M2" s="10"/>
      <c r="N2" s="10"/>
    </row>
    <row r="3" s="11" customFormat="1" ht="26.25">
      <c r="A3" s="13" t="s">
        <v>122</v>
      </c>
      <c r="B3" s="12"/>
      <c r="C3" s="12"/>
      <c r="D3" s="12"/>
      <c r="E3" s="12"/>
      <c r="F3" s="10"/>
      <c r="G3" s="10"/>
      <c r="H3" s="10"/>
      <c r="I3" s="10"/>
      <c r="J3" s="10"/>
      <c r="K3" s="10"/>
      <c r="L3" s="10"/>
      <c r="M3" s="10"/>
      <c r="N3" s="10"/>
    </row>
    <row r="4" s="14" customFormat="1" ht="15" customHeight="1">
      <c r="A4" s="15"/>
      <c r="M4" s="16"/>
      <c r="V4" s="14"/>
      <c r="W4" s="14"/>
      <c r="AD4" s="17"/>
    </row>
    <row r="5" s="11" customFormat="1" ht="21" customHeight="1">
      <c r="A5" s="18" t="s">
        <v>123</v>
      </c>
      <c r="B5" s="18"/>
      <c r="C5" s="18"/>
      <c r="D5" s="19"/>
      <c r="E5" s="19"/>
      <c r="F5" s="19"/>
      <c r="G5" s="19"/>
      <c r="H5" s="19"/>
      <c r="K5" s="20"/>
      <c r="L5" s="21" t="s">
        <v>124</v>
      </c>
      <c r="M5" s="22" t="str">
        <f>Gruppe</f>
        <v>II</v>
      </c>
      <c r="N5" s="20"/>
      <c r="O5" s="20"/>
      <c r="P5" s="20"/>
      <c r="Q5" s="20"/>
      <c r="R5" s="20"/>
      <c r="S5" s="20"/>
      <c r="T5" s="20"/>
      <c r="V5" s="11"/>
      <c r="W5" s="23"/>
      <c r="AD5" s="17"/>
    </row>
    <row r="6" s="14" customFormat="1" ht="21" customHeight="1">
      <c r="C6" s="24" t="s">
        <v>125</v>
      </c>
      <c r="L6" s="24" t="s">
        <v>126</v>
      </c>
      <c r="M6" s="16"/>
      <c r="N6" s="16"/>
      <c r="O6" s="16"/>
      <c r="P6" s="16"/>
      <c r="Q6" s="16"/>
      <c r="V6" s="23"/>
      <c r="W6" s="23"/>
      <c r="AD6" s="17"/>
    </row>
    <row r="7" s="11" customFormat="1" ht="21" customHeight="1">
      <c r="A7" s="18" t="s">
        <v>127</v>
      </c>
      <c r="B7" s="18"/>
      <c r="C7" s="18"/>
      <c r="D7" s="19"/>
      <c r="E7" s="19"/>
      <c r="F7" s="19"/>
      <c r="G7" s="19"/>
      <c r="H7" s="19"/>
      <c r="J7" s="18" t="s">
        <v>128</v>
      </c>
      <c r="K7" s="18"/>
      <c r="L7" s="18"/>
      <c r="M7" s="22" t="str">
        <f>Austragungsort</f>
        <v xml:space="preserve">Sporthalle Berlin</v>
      </c>
      <c r="N7" s="25"/>
      <c r="O7" s="25"/>
      <c r="P7" s="25"/>
      <c r="Q7" s="25"/>
      <c r="R7" s="20"/>
      <c r="S7" s="20"/>
      <c r="T7" s="20"/>
      <c r="V7" s="23"/>
      <c r="W7" s="23"/>
      <c r="Y7" s="26" t="s">
        <v>129</v>
      </c>
      <c r="Z7" s="27"/>
      <c r="AA7" s="28" t="s">
        <v>130</v>
      </c>
      <c r="AB7" s="27"/>
      <c r="AD7" s="29" t="s">
        <v>131</v>
      </c>
      <c r="AE7" s="17"/>
      <c r="AF7" s="17"/>
      <c r="AG7" s="17"/>
      <c r="AH7" s="17"/>
      <c r="AI7" s="17"/>
      <c r="AJ7" s="17"/>
      <c r="AK7" s="17"/>
      <c r="AL7" s="17"/>
      <c r="AM7" s="17"/>
    </row>
    <row r="8" s="11" customFormat="1" ht="21">
      <c r="A8" s="15"/>
      <c r="C8" s="24" t="s">
        <v>132</v>
      </c>
      <c r="L8" s="24" t="s">
        <v>133</v>
      </c>
      <c r="V8" s="23"/>
      <c r="W8" s="23"/>
      <c r="Y8" s="30">
        <v>1</v>
      </c>
      <c r="Z8" s="31" t="e">
        <f>VLOOKUP(CONCATENATE($D5," ",Y8),Setzlisten!$A:$E,5,0)</f>
        <v>#N/A</v>
      </c>
      <c r="AA8" s="30" t="e">
        <f>VLOOKUP(CONCATENATE($D7," ",Y8),Setzlisten!$A:$E,5,0)</f>
        <v>#N/A</v>
      </c>
      <c r="AB8" s="31">
        <v>1</v>
      </c>
      <c r="AD8" s="32" t="str">
        <f>CONCATENATE(A12,": ",D12," mit ",D13," - ",G12," mit ",G13,", ",I12,":",J12,", ",K12,":",L12,IF(M12="","",CONCATENATE(", ",M12,":",N12)),CHAR(10),A14,": ",D14," mit ",D15," - ",G14," mit ",G15,", ",I14,":",J14,", ",K14,":",L14,IF(M14="","",CONCATENATE(", ",M14,":",N14)),CHAR(10),A16,": ",D16," mit ",D17," - ",G16," mit ",G17,", ",I16,":",J16,", ",K16,":",L16,IF(M16="","",CONCATENATE(", ",M16,":",N16)),CHAR(10),A18,": ",D18," - ",G18,", ",I18,":",J18,", ",K18,":",L18,IF(M18="","",CONCATENATE(", ",M18,":",N18)),CHAR(10),A19,": ",D19," - ",G19,", ",I19,":",J19,", ",K19,":",L19,IF(M19="","",CONCATENATE(", ",M19,":",N19)))</f>
        <v xml:space="preserve">1. Doppel
1st Doubles:  mit  -  mit , :, :
2. Doppel
2nd Doubles:  mit  -  mit , :, :
3. Doppel
3rd Doubles:  mit  -  mit , :, :
1. Einzel
1st Singles:  - , :, :
2. Einzel
2nd Singles:  - , :, :</v>
      </c>
      <c r="AE8" s="17"/>
      <c r="AF8" s="17"/>
      <c r="AG8" s="17"/>
      <c r="AH8" s="17"/>
      <c r="AI8" s="17"/>
      <c r="AJ8" s="17"/>
      <c r="AK8" s="17"/>
      <c r="AL8" s="17"/>
      <c r="AM8" s="17"/>
    </row>
    <row r="9" s="11" customFormat="1" ht="26.25" customHeight="1">
      <c r="A9" s="33" t="s">
        <v>134</v>
      </c>
      <c r="B9" s="34"/>
      <c r="C9" s="35" t="s">
        <v>135</v>
      </c>
      <c r="D9" s="36" t="s">
        <v>136</v>
      </c>
      <c r="E9" s="37"/>
      <c r="F9" s="38" t="s">
        <v>135</v>
      </c>
      <c r="G9" s="39" t="s">
        <v>137</v>
      </c>
      <c r="H9" s="40"/>
      <c r="I9" s="41" t="s">
        <v>138</v>
      </c>
      <c r="J9" s="42"/>
      <c r="K9" s="41" t="s">
        <v>139</v>
      </c>
      <c r="L9" s="42"/>
      <c r="M9" s="43" t="s">
        <v>140</v>
      </c>
      <c r="N9" s="44"/>
      <c r="O9" s="45" t="s">
        <v>141</v>
      </c>
      <c r="P9" s="46"/>
      <c r="Q9" s="47" t="s">
        <v>142</v>
      </c>
      <c r="R9" s="48"/>
      <c r="S9" s="49" t="s">
        <v>143</v>
      </c>
      <c r="T9" s="50"/>
      <c r="V9" s="51" t="s">
        <v>144</v>
      </c>
      <c r="W9" s="52" t="s">
        <v>145</v>
      </c>
      <c r="Y9" s="30">
        <v>2</v>
      </c>
      <c r="Z9" s="31" t="e">
        <f>VLOOKUP(CONCATENATE($D5," ",Y9),Setzlisten!$A:$E,5,0)</f>
        <v>#N/A</v>
      </c>
      <c r="AA9" s="30" t="e">
        <f>VLOOKUP(CONCATENATE($D7," ",Y9),Setzlisten!$A:$E,5,0)</f>
        <v>#N/A</v>
      </c>
      <c r="AB9" s="31">
        <v>2</v>
      </c>
      <c r="AD9" s="32"/>
      <c r="AE9" s="17"/>
      <c r="AF9" s="17"/>
      <c r="AG9" s="17"/>
      <c r="AH9" s="17"/>
      <c r="AI9" s="17"/>
      <c r="AJ9" s="17"/>
      <c r="AK9" s="17"/>
      <c r="AL9" s="17"/>
      <c r="AM9" s="17"/>
    </row>
    <row r="10" s="11" customFormat="1" ht="29.25" customHeight="1">
      <c r="A10" s="53">
        <f>Allgemeines!G3</f>
        <v>0.4375</v>
      </c>
      <c r="B10" s="34"/>
      <c r="C10" s="54"/>
      <c r="D10" s="55"/>
      <c r="E10" s="56"/>
      <c r="F10" s="57"/>
      <c r="G10" s="58"/>
      <c r="H10" s="40"/>
      <c r="I10" s="59"/>
      <c r="J10" s="60"/>
      <c r="K10" s="59"/>
      <c r="L10" s="60"/>
      <c r="M10" s="61"/>
      <c r="N10" s="62"/>
      <c r="O10" s="63" t="s">
        <v>146</v>
      </c>
      <c r="P10" s="64" t="s">
        <v>147</v>
      </c>
      <c r="Q10" s="65" t="s">
        <v>146</v>
      </c>
      <c r="R10" s="66" t="s">
        <v>147</v>
      </c>
      <c r="S10" s="64" t="s">
        <v>146</v>
      </c>
      <c r="T10" s="67" t="s">
        <v>147</v>
      </c>
      <c r="V10" s="68"/>
      <c r="W10" s="69"/>
      <c r="Y10" s="30">
        <v>3</v>
      </c>
      <c r="Z10" s="31" t="e">
        <f>VLOOKUP(CONCATENATE($D5," ",Y10),Setzlisten!$A:$E,5,0)</f>
        <v>#N/A</v>
      </c>
      <c r="AA10" s="30" t="e">
        <f>VLOOKUP(CONCATENATE($D7," ",Y10),Setzlisten!$A:$E,5,0)</f>
        <v>#N/A</v>
      </c>
      <c r="AB10" s="31">
        <v>3</v>
      </c>
      <c r="AD10" s="32"/>
      <c r="AE10" s="17"/>
      <c r="AF10" s="17"/>
      <c r="AG10" s="17"/>
      <c r="AH10" s="17"/>
      <c r="AI10" s="17"/>
      <c r="AJ10" s="17"/>
      <c r="AK10" s="17"/>
      <c r="AL10" s="17"/>
      <c r="AM10" s="17"/>
    </row>
    <row r="11" s="70" customFormat="1" ht="9">
      <c r="V11" s="30"/>
      <c r="W11" s="31"/>
      <c r="Y11" s="30">
        <v>4</v>
      </c>
      <c r="Z11" s="31" t="e">
        <f>VLOOKUP(CONCATENATE($D5," ",Y11),Setzlisten!$A:$E,5,0)</f>
        <v>#N/A</v>
      </c>
      <c r="AA11" s="30" t="e">
        <f>VLOOKUP(CONCATENATE($D7," ",Y11),Setzlisten!$A:$E,5,0)</f>
        <v>#N/A</v>
      </c>
      <c r="AB11" s="31">
        <v>4</v>
      </c>
      <c r="AD11" s="32"/>
    </row>
    <row r="12" s="11" customFormat="1" ht="24" customHeight="1">
      <c r="A12" s="71" t="s">
        <v>148</v>
      </c>
      <c r="C12" s="72">
        <f>IF(D12="",0,VLOOKUP(D12,$Z8:$AB22,3,0))</f>
        <v>0</v>
      </c>
      <c r="D12" s="73"/>
      <c r="E12" s="74"/>
      <c r="F12" s="75">
        <f>IF(G12="",0,VLOOKUP(G12,$AA8:$AB22,2,0))</f>
        <v>0</v>
      </c>
      <c r="G12" s="76"/>
      <c r="I12" s="77"/>
      <c r="J12" s="78"/>
      <c r="K12" s="77"/>
      <c r="L12" s="78"/>
      <c r="M12" s="77"/>
      <c r="N12" s="79"/>
      <c r="O12" s="80" t="str">
        <f>IF(I12="","",SUM(I12,K12,M12))</f>
        <v/>
      </c>
      <c r="P12" s="81" t="str">
        <f>IF(J12="","",SUM(J12,L12,N12))</f>
        <v/>
      </c>
      <c r="Q12" s="82" t="str">
        <f>IF(I12="","",IF(I12&gt;J12,1,0)+IF(K12&gt;L12,1,0)+IF(M12="",0,IF(M12&gt;N12,1,0)))</f>
        <v/>
      </c>
      <c r="R12" s="83" t="str">
        <f>IF(I12="","",IF(J12&gt;I12,1,0)+IF(L12&gt;K12,1,0)+IF(M12="",0,IF(N12&gt;M12,1,0)))</f>
        <v/>
      </c>
      <c r="S12" s="84" t="str">
        <f>IF(I12="","",IF(Q12&gt;R12,1,0))</f>
        <v/>
      </c>
      <c r="T12" s="85" t="str">
        <f>IF(I12="","",IF(R12&gt;Q12,1,0))</f>
        <v/>
      </c>
      <c r="V12" s="86">
        <f>C12+C13</f>
        <v>0</v>
      </c>
      <c r="W12" s="87">
        <f>F12+F13</f>
        <v>0</v>
      </c>
      <c r="Y12" s="30">
        <v>5</v>
      </c>
      <c r="Z12" s="31" t="e">
        <f>VLOOKUP(CONCATENATE($D5," ",Y12),Setzlisten!$A:$E,5,0)</f>
        <v>#N/A</v>
      </c>
      <c r="AA12" s="30" t="e">
        <f>VLOOKUP(CONCATENATE($D7," ",Y12),Setzlisten!$A:$E,5,0)</f>
        <v>#N/A</v>
      </c>
      <c r="AB12" s="31">
        <v>5</v>
      </c>
      <c r="AD12" s="32"/>
    </row>
    <row r="13" s="11" customFormat="1" ht="24" customHeight="1">
      <c r="A13" s="88"/>
      <c r="C13" s="89">
        <f>IF(D13="",0,VLOOKUP(D13,$Z8:$AB22,3,0))</f>
        <v>0</v>
      </c>
      <c r="D13" s="90"/>
      <c r="E13" s="91"/>
      <c r="F13" s="92">
        <f>IF(G13="",0,VLOOKUP(G13,$AA8:$AB22,2,0))</f>
        <v>0</v>
      </c>
      <c r="G13" s="93"/>
      <c r="I13" s="77"/>
      <c r="J13" s="78"/>
      <c r="K13" s="77"/>
      <c r="L13" s="78"/>
      <c r="M13" s="77"/>
      <c r="N13" s="79"/>
      <c r="O13" s="92"/>
      <c r="P13" s="94"/>
      <c r="Q13" s="89"/>
      <c r="R13" s="95"/>
      <c r="S13" s="96"/>
      <c r="T13" s="97"/>
      <c r="V13" s="98"/>
      <c r="W13" s="99"/>
      <c r="Y13" s="30">
        <v>6</v>
      </c>
      <c r="Z13" s="31" t="e">
        <f>VLOOKUP(CONCATENATE($D5," ",Y13),Setzlisten!$A:$E,5,0)</f>
        <v>#N/A</v>
      </c>
      <c r="AA13" s="30" t="e">
        <f>VLOOKUP(CONCATENATE($D7," ",Y13),Setzlisten!$A:$E,5,0)</f>
        <v>#N/A</v>
      </c>
      <c r="AB13" s="31">
        <v>6</v>
      </c>
      <c r="AD13" s="32"/>
    </row>
    <row r="14" s="11" customFormat="1" ht="24" customHeight="1">
      <c r="A14" s="71" t="s">
        <v>149</v>
      </c>
      <c r="C14" s="72">
        <f>IF(D14="",0,VLOOKUP(D14,$Z8:$AB22,3,0))</f>
        <v>0</v>
      </c>
      <c r="D14" s="73"/>
      <c r="E14" s="74"/>
      <c r="F14" s="75">
        <f>IF(G14="",0,VLOOKUP(G14,$AA8:$AB22,2,0))</f>
        <v>0</v>
      </c>
      <c r="G14" s="76"/>
      <c r="I14" s="77"/>
      <c r="J14" s="100"/>
      <c r="K14" s="77"/>
      <c r="L14" s="78"/>
      <c r="M14" s="77"/>
      <c r="N14" s="79"/>
      <c r="O14" s="80" t="str">
        <f>IF(I14="","",SUM(I14,K14,M14))</f>
        <v/>
      </c>
      <c r="P14" s="81" t="str">
        <f t="shared" ref="P14:P19" si="38">IF(J14="","",SUM(J14,L14,N14))</f>
        <v/>
      </c>
      <c r="Q14" s="82" t="str">
        <f t="shared" ref="Q14:Q19" si="39">IF(I14="","",IF(I14&gt;J14,1,0)+IF(K14&gt;L14,1,0)+IF(M14="",0,IF(M14&gt;N14,1,0)))</f>
        <v/>
      </c>
      <c r="R14" s="83" t="str">
        <f t="shared" ref="R14:R19" si="40">IF(I14="","",IF(J14&gt;I14,1,0)+IF(L14&gt;K14,1,0)+IF(M14="",0,IF(N14&gt;M14,1,0)))</f>
        <v/>
      </c>
      <c r="S14" s="84" t="str">
        <f t="shared" ref="S14:S19" si="41">IF(I14="","",IF(Q14&gt;R14,1,0))</f>
        <v/>
      </c>
      <c r="T14" s="85" t="str">
        <f t="shared" ref="T14:T19" si="42">IF(I14="","",IF(R14&gt;Q14,1,0))</f>
        <v/>
      </c>
      <c r="V14" s="98">
        <f>C14+C15</f>
        <v>0</v>
      </c>
      <c r="W14" s="99">
        <f>F14+F15</f>
        <v>0</v>
      </c>
      <c r="Y14" s="30">
        <v>7</v>
      </c>
      <c r="Z14" s="31" t="e">
        <f>VLOOKUP(CONCATENATE($D5," ",Y14),Setzlisten!$A:$E,5,0)</f>
        <v>#N/A</v>
      </c>
      <c r="AA14" s="30" t="e">
        <f>VLOOKUP(CONCATENATE($D7," ",Y14),Setzlisten!$A:$E,5,0)</f>
        <v>#N/A</v>
      </c>
      <c r="AB14" s="31">
        <v>7</v>
      </c>
      <c r="AD14" s="101" t="s">
        <v>150</v>
      </c>
    </row>
    <row r="15" s="11" customFormat="1" ht="24" customHeight="1">
      <c r="A15" s="88"/>
      <c r="C15" s="89">
        <f>IF(D15="",0,VLOOKUP(D15,$Z8:$AB22,3,0))</f>
        <v>0</v>
      </c>
      <c r="D15" s="90"/>
      <c r="E15" s="91"/>
      <c r="F15" s="92">
        <f>IF(G15="",0,VLOOKUP(G15,$AA8:$AB22,2,0))</f>
        <v>0</v>
      </c>
      <c r="G15" s="93"/>
      <c r="I15" s="77"/>
      <c r="J15" s="78"/>
      <c r="K15" s="77"/>
      <c r="L15" s="78"/>
      <c r="M15" s="77"/>
      <c r="N15" s="79"/>
      <c r="O15" s="92"/>
      <c r="P15" s="94"/>
      <c r="Q15" s="89"/>
      <c r="R15" s="95"/>
      <c r="S15" s="96"/>
      <c r="T15" s="97"/>
      <c r="V15" s="98"/>
      <c r="W15" s="99"/>
      <c r="Y15" s="30">
        <v>8</v>
      </c>
      <c r="Z15" s="31" t="e">
        <f>VLOOKUP(CONCATENATE($D5," ",Y15),Setzlisten!$A:$E,5,0)</f>
        <v>#N/A</v>
      </c>
      <c r="AA15" s="30" t="e">
        <f>VLOOKUP(CONCATENATE($D7," ",Y15),Setzlisten!$A:$E,5,0)</f>
        <v>#N/A</v>
      </c>
      <c r="AB15" s="31">
        <v>8</v>
      </c>
      <c r="AD15" s="101"/>
    </row>
    <row r="16" s="11" customFormat="1" ht="24" customHeight="1">
      <c r="A16" s="71" t="s">
        <v>151</v>
      </c>
      <c r="C16" s="72">
        <f>IF(D16="",0,VLOOKUP(D16,$Z8:$AB22,3,0))</f>
        <v>0</v>
      </c>
      <c r="D16" s="73"/>
      <c r="E16" s="74"/>
      <c r="F16" s="75">
        <f>IF(G16="",0,VLOOKUP(G16,$AA8:$AB22,2,0))</f>
        <v>0</v>
      </c>
      <c r="G16" s="76"/>
      <c r="I16" s="77"/>
      <c r="J16" s="78"/>
      <c r="K16" s="77"/>
      <c r="L16" s="78"/>
      <c r="M16" s="77"/>
      <c r="N16" s="79"/>
      <c r="O16" s="80" t="str">
        <f>IF(I16="","",SUM(I16,K16,M16))</f>
        <v/>
      </c>
      <c r="P16" s="81" t="str">
        <f t="shared" si="38"/>
        <v/>
      </c>
      <c r="Q16" s="82" t="str">
        <f t="shared" si="39"/>
        <v/>
      </c>
      <c r="R16" s="83" t="str">
        <f t="shared" si="40"/>
        <v/>
      </c>
      <c r="S16" s="84" t="str">
        <f t="shared" si="41"/>
        <v/>
      </c>
      <c r="T16" s="85" t="str">
        <f t="shared" si="42"/>
        <v/>
      </c>
      <c r="V16" s="98">
        <f>C16+C17</f>
        <v>0</v>
      </c>
      <c r="W16" s="99">
        <f>F16+F17</f>
        <v>0</v>
      </c>
      <c r="Y16" s="30">
        <v>9</v>
      </c>
      <c r="Z16" s="31" t="e">
        <f>VLOOKUP(CONCATENATE($D5," ",Y16),Setzlisten!$A:$E,5,0)</f>
        <v>#N/A</v>
      </c>
      <c r="AA16" s="30" t="e">
        <f>VLOOKUP(CONCATENATE($D7," ",Y16),Setzlisten!$A:$E,5,0)</f>
        <v>#N/A</v>
      </c>
      <c r="AB16" s="31">
        <v>9</v>
      </c>
      <c r="AD16" s="32"/>
    </row>
    <row r="17" s="11" customFormat="1" ht="24" customHeight="1">
      <c r="A17" s="88"/>
      <c r="C17" s="89">
        <f>IF(D17="",0,VLOOKUP(D17,$Z8:$AB22,3,0))</f>
        <v>0</v>
      </c>
      <c r="D17" s="90"/>
      <c r="E17" s="91"/>
      <c r="F17" s="92">
        <f>IF(G17="",0,VLOOKUP(G17,$AA8:$AB22,2,0))</f>
        <v>0</v>
      </c>
      <c r="G17" s="93"/>
      <c r="I17" s="77"/>
      <c r="J17" s="78"/>
      <c r="K17" s="77"/>
      <c r="L17" s="78"/>
      <c r="M17" s="77"/>
      <c r="N17" s="79"/>
      <c r="O17" s="92"/>
      <c r="P17" s="94"/>
      <c r="Q17" s="89"/>
      <c r="R17" s="95"/>
      <c r="S17" s="96"/>
      <c r="T17" s="97"/>
      <c r="V17" s="102"/>
      <c r="W17" s="103"/>
      <c r="Y17" s="30">
        <v>10</v>
      </c>
      <c r="Z17" s="31" t="e">
        <f>VLOOKUP(CONCATENATE($D5," ",Y17),Setzlisten!$A:$E,5,0)</f>
        <v>#N/A</v>
      </c>
      <c r="AA17" s="30" t="e">
        <f>VLOOKUP(CONCATENATE($D7," ",Y17),Setzlisten!$A:$E,5,0)</f>
        <v>#N/A</v>
      </c>
      <c r="AB17" s="31">
        <v>10</v>
      </c>
      <c r="AD17" s="32"/>
    </row>
    <row r="18" s="11" customFormat="1" ht="30" customHeight="1">
      <c r="A18" s="71" t="s">
        <v>152</v>
      </c>
      <c r="B18" s="104"/>
      <c r="C18" s="105">
        <f>IF(D18="",0,VLOOKUP(D18,$Z8:$AB22,3,0))</f>
        <v>0</v>
      </c>
      <c r="D18" s="106"/>
      <c r="E18" s="107"/>
      <c r="F18" s="108">
        <f>IF(G18="",0,VLOOKUP(G18,$AA8:$AB22,2,0))</f>
        <v>0</v>
      </c>
      <c r="G18" s="109"/>
      <c r="I18" s="77"/>
      <c r="J18" s="78"/>
      <c r="K18" s="77"/>
      <c r="L18" s="78"/>
      <c r="M18" s="77"/>
      <c r="N18" s="79"/>
      <c r="O18" s="108" t="str">
        <f t="shared" ref="O18:O19" si="43">IF(I18="","",SUM(I18,K18,M18))</f>
        <v/>
      </c>
      <c r="P18" s="110" t="str">
        <f t="shared" si="38"/>
        <v/>
      </c>
      <c r="Q18" s="105" t="str">
        <f t="shared" si="39"/>
        <v/>
      </c>
      <c r="R18" s="111" t="str">
        <f t="shared" si="40"/>
        <v/>
      </c>
      <c r="S18" s="112" t="str">
        <f t="shared" si="41"/>
        <v/>
      </c>
      <c r="T18" s="113" t="str">
        <f t="shared" si="42"/>
        <v/>
      </c>
      <c r="V18" s="98">
        <f t="shared" ref="V18:V19" si="44">C18</f>
        <v>0</v>
      </c>
      <c r="W18" s="99">
        <f t="shared" ref="W18:W19" si="45">F18</f>
        <v>0</v>
      </c>
      <c r="Y18" s="30">
        <v>11</v>
      </c>
      <c r="Z18" s="31" t="e">
        <f>VLOOKUP(CONCATENATE($D5," ",Y18),Setzlisten!$A:$E,5,0)</f>
        <v>#N/A</v>
      </c>
      <c r="AA18" s="30" t="e">
        <f>VLOOKUP(CONCATENATE($D7," ",Y18),Setzlisten!$A:$E,5,0)</f>
        <v>#N/A</v>
      </c>
      <c r="AB18" s="31">
        <v>11</v>
      </c>
      <c r="AD18" s="32"/>
    </row>
    <row r="19" s="11" customFormat="1" ht="30" customHeight="1">
      <c r="A19" s="71" t="s">
        <v>153</v>
      </c>
      <c r="B19" s="104"/>
      <c r="C19" s="105">
        <f>IF(D19="",0,VLOOKUP(D19,$Z8:$AB22,3,0))</f>
        <v>0</v>
      </c>
      <c r="D19" s="106"/>
      <c r="E19" s="107"/>
      <c r="F19" s="108">
        <f>IF(G19="",0,VLOOKUP(G19,$AA8:$AB22,2,0))</f>
        <v>0</v>
      </c>
      <c r="G19" s="109"/>
      <c r="I19" s="77"/>
      <c r="J19" s="78"/>
      <c r="K19" s="77"/>
      <c r="L19" s="78"/>
      <c r="M19" s="77"/>
      <c r="N19" s="79"/>
      <c r="O19" s="108" t="str">
        <f t="shared" si="43"/>
        <v/>
      </c>
      <c r="P19" s="110" t="str">
        <f t="shared" si="38"/>
        <v/>
      </c>
      <c r="Q19" s="105" t="str">
        <f t="shared" si="39"/>
        <v/>
      </c>
      <c r="R19" s="111" t="str">
        <f t="shared" si="40"/>
        <v/>
      </c>
      <c r="S19" s="112" t="str">
        <f t="shared" si="41"/>
        <v/>
      </c>
      <c r="T19" s="113" t="str">
        <f t="shared" si="42"/>
        <v/>
      </c>
      <c r="V19" s="102">
        <f t="shared" si="44"/>
        <v>0</v>
      </c>
      <c r="W19" s="103">
        <f t="shared" si="45"/>
        <v>0</v>
      </c>
      <c r="Y19" s="30">
        <v>12</v>
      </c>
      <c r="Z19" s="31" t="e">
        <f>VLOOKUP(CONCATENATE($D5," ",Y19),Setzlisten!$A:$E,5,0)</f>
        <v>#N/A</v>
      </c>
      <c r="AA19" s="30" t="e">
        <f>VLOOKUP(CONCATENATE($D7," ",Y19),Setzlisten!$A:$E,5,0)</f>
        <v>#N/A</v>
      </c>
      <c r="AB19" s="31">
        <v>12</v>
      </c>
      <c r="AD19" s="32"/>
    </row>
    <row r="20" s="70" customFormat="1" ht="9">
      <c r="Y20" s="30">
        <v>13</v>
      </c>
      <c r="Z20" s="31" t="e">
        <f>VLOOKUP(CONCATENATE($D5," ",Y20),Setzlisten!$A:$E,5,0)</f>
        <v>#N/A</v>
      </c>
      <c r="AA20" s="30" t="e">
        <f>VLOOKUP(CONCATENATE($D7," ",Y20),Setzlisten!$A:$E,5,0)</f>
        <v>#N/A</v>
      </c>
      <c r="AB20" s="31">
        <v>13</v>
      </c>
      <c r="AD20" s="32"/>
    </row>
    <row r="21" s="11" customFormat="1" ht="16.5">
      <c r="A21" s="114" t="s">
        <v>154</v>
      </c>
      <c r="B21" s="34"/>
      <c r="C21" s="115" t="s">
        <v>155</v>
      </c>
      <c r="D21" s="116"/>
      <c r="E21" s="117" t="str">
        <f>IF(S21="","",IF(S21&gt;T21,D5,D7))</f>
        <v/>
      </c>
      <c r="F21" s="118"/>
      <c r="G21" s="119"/>
      <c r="I21" s="115" t="s">
        <v>156</v>
      </c>
      <c r="J21" s="120"/>
      <c r="K21" s="120"/>
      <c r="L21" s="120"/>
      <c r="M21" s="120"/>
      <c r="N21" s="116"/>
      <c r="O21" s="82" t="str">
        <f t="shared" ref="O21:T21" si="46">IF(O12="","",SUM(O12:O19))</f>
        <v/>
      </c>
      <c r="P21" s="121" t="str">
        <f t="shared" si="46"/>
        <v/>
      </c>
      <c r="Q21" s="82" t="str">
        <f t="shared" si="46"/>
        <v/>
      </c>
      <c r="R21" s="121" t="str">
        <f t="shared" si="46"/>
        <v/>
      </c>
      <c r="S21" s="82" t="str">
        <f t="shared" si="46"/>
        <v/>
      </c>
      <c r="T21" s="122" t="str">
        <f t="shared" si="46"/>
        <v/>
      </c>
      <c r="Y21" s="30">
        <v>14</v>
      </c>
      <c r="Z21" s="31" t="e">
        <f>VLOOKUP(CONCATENATE($D5," ",Y21),Setzlisten!$A:$E,5,0)</f>
        <v>#N/A</v>
      </c>
      <c r="AA21" s="30" t="e">
        <f>VLOOKUP(CONCATENATE($D7," ",Y21),Setzlisten!$A:$E,5,0)</f>
        <v>#N/A</v>
      </c>
      <c r="AB21" s="31">
        <v>14</v>
      </c>
      <c r="AD21" s="32"/>
    </row>
    <row r="22" s="11" customFormat="1" ht="24">
      <c r="A22" s="53">
        <f>Allgemeines!H3</f>
        <v>0.5</v>
      </c>
      <c r="B22" s="34"/>
      <c r="C22" s="123"/>
      <c r="D22" s="124"/>
      <c r="E22" s="125"/>
      <c r="F22" s="126"/>
      <c r="G22" s="127"/>
      <c r="I22" s="123"/>
      <c r="J22" s="128"/>
      <c r="K22" s="128"/>
      <c r="L22" s="128"/>
      <c r="M22" s="128"/>
      <c r="N22" s="124"/>
      <c r="O22" s="129"/>
      <c r="P22" s="130"/>
      <c r="Q22" s="129"/>
      <c r="R22" s="130"/>
      <c r="S22" s="129"/>
      <c r="T22" s="131"/>
      <c r="Y22" s="132">
        <v>15</v>
      </c>
      <c r="Z22" s="133" t="e">
        <f>VLOOKUP(CONCATENATE($D5," ",Y22),Setzlisten!$A:$E,5,0)</f>
        <v>#N/A</v>
      </c>
      <c r="AA22" s="132" t="e">
        <f>VLOOKUP(CONCATENATE($D7," ",Y22),Setzlisten!$A:$E,5,0)</f>
        <v>#N/A</v>
      </c>
      <c r="AB22" s="133">
        <v>15</v>
      </c>
    </row>
    <row r="23" s="11" customFormat="1" ht="15" customHeight="1">
      <c r="A23" s="15"/>
    </row>
    <row r="24" s="11" customFormat="1" ht="30" customHeight="1">
      <c r="B24" s="21"/>
      <c r="C24" s="21"/>
      <c r="D24" s="134" t="s">
        <v>157</v>
      </c>
      <c r="E24" s="134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</row>
    <row r="25" s="11" customFormat="1">
      <c r="A25" s="14"/>
      <c r="P25" s="136"/>
      <c r="Q25" s="136"/>
      <c r="R25" s="136"/>
      <c r="S25" s="136"/>
      <c r="T25" s="136"/>
    </row>
    <row r="26" s="11" customFormat="1" ht="30" customHeight="1">
      <c r="A26" s="137" t="s">
        <v>158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</row>
    <row r="27" s="11" customFormat="1" ht="36" customHeight="1">
      <c r="A27" s="139" t="str">
        <f>Allgemeines!$B$3</f>
        <v>Hamburg</v>
      </c>
      <c r="B27" s="139"/>
      <c r="C27" s="139"/>
      <c r="D27" s="139"/>
      <c r="E27" s="140">
        <f>Allgemeines!$B$4</f>
        <v>46023</v>
      </c>
      <c r="G27" s="141"/>
      <c r="J27" s="141"/>
      <c r="K27" s="141"/>
      <c r="L27" s="141"/>
      <c r="M27" s="141"/>
      <c r="N27" s="141"/>
      <c r="P27" s="141"/>
      <c r="Q27" s="141"/>
      <c r="R27" s="141"/>
      <c r="S27" s="141"/>
      <c r="T27" s="141"/>
    </row>
    <row r="28" s="11" customFormat="1">
      <c r="A28" s="142"/>
      <c r="B28" s="142"/>
      <c r="C28" s="142"/>
      <c r="D28" s="142"/>
      <c r="E28" s="143"/>
      <c r="G28" s="144"/>
      <c r="J28" s="144"/>
      <c r="K28" s="144"/>
      <c r="L28" s="144"/>
      <c r="M28" s="144"/>
      <c r="N28" s="144"/>
      <c r="P28" s="144"/>
      <c r="Q28" s="144"/>
      <c r="R28" s="144"/>
      <c r="S28" s="144"/>
      <c r="T28" s="144"/>
    </row>
    <row r="29" s="11" customFormat="1" ht="16.5">
      <c r="A29" s="145" t="s">
        <v>159</v>
      </c>
      <c r="B29" s="145"/>
      <c r="C29" s="145"/>
      <c r="D29" s="145"/>
      <c r="E29" s="145" t="s">
        <v>160</v>
      </c>
      <c r="F29" s="40"/>
      <c r="G29" s="145" t="s">
        <v>2</v>
      </c>
      <c r="H29" s="40"/>
      <c r="I29" s="40"/>
      <c r="J29" s="146" t="s">
        <v>161</v>
      </c>
      <c r="K29" s="146"/>
      <c r="L29" s="146"/>
      <c r="M29" s="146"/>
      <c r="N29" s="146"/>
      <c r="O29" s="40"/>
      <c r="P29" s="146" t="s">
        <v>162</v>
      </c>
      <c r="Q29" s="146"/>
      <c r="R29" s="146"/>
      <c r="S29" s="146"/>
      <c r="T29" s="146"/>
    </row>
    <row r="30">
      <c r="G30" s="147" t="s">
        <v>163</v>
      </c>
      <c r="J30" s="147" t="s">
        <v>164</v>
      </c>
      <c r="K30" s="147"/>
      <c r="L30" s="147"/>
      <c r="M30" s="147"/>
      <c r="N30" s="147"/>
      <c r="P30" s="147" t="s">
        <v>165</v>
      </c>
      <c r="Q30" s="147"/>
      <c r="R30" s="147"/>
      <c r="S30" s="147"/>
      <c r="T30" s="147"/>
    </row>
    <row r="31">
      <c r="G31" s="141" t="str">
        <f>Allgemeines!$D$2</f>
        <v xml:space="preserve">George Washington</v>
      </c>
      <c r="J31" s="141" t="str">
        <f>IF(D5="","",VLOOKUP(D5,Allgemeines!$B$7:$D$12,3,0))</f>
        <v/>
      </c>
      <c r="K31" s="141"/>
      <c r="L31" s="141"/>
      <c r="M31" s="141"/>
      <c r="N31" s="141"/>
      <c r="P31" s="141" t="str">
        <f>IF(D7="","",VLOOKUP(D7,Allgemeines!$B$7:$D$12,3,0))</f>
        <v/>
      </c>
      <c r="Q31" s="141"/>
      <c r="R31" s="141"/>
      <c r="S31" s="141"/>
      <c r="T31" s="141"/>
    </row>
    <row r="32" ht="21">
      <c r="A32" s="9" t="s">
        <v>120</v>
      </c>
      <c r="F32" s="10" t="str">
        <f>IF(V43&gt;V45,CONCATENATE("Achtung! Teamreihenfolge ",D36," nicht richtig! 1. und 2. Doppel tauschen."),IF(V45&gt;V47,CONCATENATE("Achtung! Teamreihenfolge ",D36," nicht richtig! 2. und 3. Doppel tauschen."),IF(AND(V49&gt;=V50,V50&gt;0),CONCATENATE("Achtung! Teamreihenfolge ",D36," nicht richtig! Beide Einzel tauschen."),IF(W43&gt;W45,CONCATENATE("Achtung! Teamreihenfolge ",D38," nicht richtig! 1. und 2. Doppel tauschen."),IF(W45&gt;W47,CONCATENATE("Achtung! Teamreihenfolge ",D38," nicht richtig! 2. und 3. Doppel tauschen."),IF(AND(W49&gt;=W50,W50&gt;0),CONCATENATE("Achtung! Teamreihenfolge ",D38," nicht richtig! Beide Einzel tauschen."),""))))))</f>
        <v/>
      </c>
      <c r="G32" s="10"/>
      <c r="H32" s="10"/>
      <c r="I32" s="10"/>
      <c r="J32" s="10"/>
      <c r="K32" s="10"/>
      <c r="L32" s="10"/>
      <c r="M32" s="10"/>
      <c r="N32" s="10"/>
    </row>
    <row r="33" s="11" customFormat="1" ht="26.25">
      <c r="A33" s="12" t="s">
        <v>121</v>
      </c>
      <c r="B33" s="12"/>
      <c r="C33" s="12"/>
      <c r="D33" s="12"/>
      <c r="E33" s="12"/>
      <c r="F33" s="10"/>
      <c r="G33" s="10"/>
      <c r="H33" s="10"/>
      <c r="I33" s="10"/>
      <c r="J33" s="10"/>
      <c r="K33" s="10"/>
      <c r="L33" s="10"/>
      <c r="M33" s="10"/>
      <c r="N33" s="10"/>
    </row>
    <row r="34" s="11" customFormat="1" ht="26.25">
      <c r="A34" s="13" t="s">
        <v>122</v>
      </c>
      <c r="B34" s="12"/>
      <c r="C34" s="12"/>
      <c r="D34" s="12"/>
      <c r="E34" s="12"/>
      <c r="F34" s="10"/>
      <c r="G34" s="10"/>
      <c r="H34" s="10"/>
      <c r="I34" s="10"/>
      <c r="J34" s="10"/>
      <c r="K34" s="10"/>
      <c r="L34" s="10"/>
      <c r="M34" s="10"/>
      <c r="N34" s="10"/>
    </row>
    <row r="35" s="14" customFormat="1" ht="15" customHeight="1">
      <c r="A35" s="15"/>
      <c r="M35" s="16"/>
      <c r="V35" s="14"/>
      <c r="W35" s="14"/>
      <c r="AD35" s="17"/>
    </row>
    <row r="36" s="11" customFormat="1" ht="21" customHeight="1">
      <c r="A36" s="18" t="s">
        <v>123</v>
      </c>
      <c r="B36" s="18"/>
      <c r="C36" s="18"/>
      <c r="D36" s="19"/>
      <c r="E36" s="19"/>
      <c r="F36" s="19"/>
      <c r="G36" s="19"/>
      <c r="H36" s="19"/>
      <c r="K36" s="20"/>
      <c r="L36" s="21" t="s">
        <v>124</v>
      </c>
      <c r="M36" s="22" t="str">
        <f>Gruppe</f>
        <v>II</v>
      </c>
      <c r="N36" s="20"/>
      <c r="O36" s="20"/>
      <c r="P36" s="20"/>
      <c r="Q36" s="20"/>
      <c r="R36" s="20"/>
      <c r="S36" s="20"/>
      <c r="T36" s="20"/>
      <c r="V36" s="11"/>
      <c r="W36" s="23"/>
      <c r="AD36" s="17"/>
    </row>
    <row r="37" s="14" customFormat="1" ht="21" customHeight="1">
      <c r="C37" s="24" t="s">
        <v>125</v>
      </c>
      <c r="L37" s="24" t="s">
        <v>126</v>
      </c>
      <c r="M37" s="16"/>
      <c r="N37" s="16"/>
      <c r="O37" s="16"/>
      <c r="P37" s="16"/>
      <c r="Q37" s="16"/>
      <c r="V37" s="23"/>
      <c r="W37" s="23"/>
      <c r="AD37" s="17"/>
    </row>
    <row r="38" s="11" customFormat="1" ht="21" customHeight="1">
      <c r="A38" s="18" t="s">
        <v>127</v>
      </c>
      <c r="B38" s="18"/>
      <c r="C38" s="18"/>
      <c r="D38" s="19"/>
      <c r="E38" s="19"/>
      <c r="F38" s="19"/>
      <c r="G38" s="19"/>
      <c r="H38" s="19"/>
      <c r="J38" s="18" t="s">
        <v>128</v>
      </c>
      <c r="K38" s="18"/>
      <c r="L38" s="18"/>
      <c r="M38" s="22" t="str">
        <f>Austragungsort</f>
        <v xml:space="preserve">Sporthalle Berlin</v>
      </c>
      <c r="N38" s="25"/>
      <c r="O38" s="25"/>
      <c r="P38" s="25"/>
      <c r="Q38" s="25"/>
      <c r="R38" s="20"/>
      <c r="S38" s="20"/>
      <c r="T38" s="20"/>
      <c r="V38" s="23"/>
      <c r="W38" s="23"/>
      <c r="Y38" s="26" t="s">
        <v>129</v>
      </c>
      <c r="Z38" s="27"/>
      <c r="AA38" s="28" t="s">
        <v>130</v>
      </c>
      <c r="AB38" s="27"/>
      <c r="AD38" s="29" t="s">
        <v>131</v>
      </c>
      <c r="AE38" s="17"/>
      <c r="AF38" s="17"/>
      <c r="AG38" s="17"/>
      <c r="AH38" s="17"/>
      <c r="AI38" s="17"/>
      <c r="AJ38" s="17"/>
      <c r="AK38" s="17"/>
      <c r="AL38" s="17"/>
      <c r="AM38" s="17"/>
    </row>
    <row r="39" s="11" customFormat="1" ht="21">
      <c r="A39" s="15"/>
      <c r="C39" s="24" t="s">
        <v>132</v>
      </c>
      <c r="L39" s="24" t="s">
        <v>133</v>
      </c>
      <c r="V39" s="23"/>
      <c r="W39" s="23"/>
      <c r="Y39" s="30">
        <v>1</v>
      </c>
      <c r="Z39" s="31" t="e">
        <f>VLOOKUP(CONCATENATE($D36," ",Y39),Setzlisten!$A:$E,5,0)</f>
        <v>#N/A</v>
      </c>
      <c r="AA39" s="30" t="e">
        <f>VLOOKUP(CONCATENATE($D38," ",Y39),Setzlisten!$A:$E,5,0)</f>
        <v>#N/A</v>
      </c>
      <c r="AB39" s="31">
        <v>1</v>
      </c>
      <c r="AD39" s="32" t="str">
        <f>CONCATENATE(A43,": ",D43," mit ",D44," - ",G43," mit ",G44,", ",I43,":",J43,", ",K43,":",L43,IF(M43="","",CONCATENATE(", ",M43,":",N43)),CHAR(10),A45,": ",D45," mit ",D46," - ",G45," mit ",G46,", ",I45,":",J45,", ",K45,":",L45,IF(M45="","",CONCATENATE(", ",M45,":",N45)),CHAR(10),A47,": ",D47," mit ",D48," - ",G47," mit ",G48,", ",I47,":",J47,", ",K47,":",L47,IF(M47="","",CONCATENATE(", ",M47,":",N47)),CHAR(10),A49,": ",D49," - ",G49,", ",I49,":",J49,", ",K49,":",L49,IF(M49="","",CONCATENATE(", ",M49,":",N49)),CHAR(10),A50,": ",D50," - ",G50,", ",I50,":",J50,", ",K50,":",L50,IF(M50="","",CONCATENATE(", ",M50,":",N50)))</f>
        <v xml:space="preserve">1. Doppel
1st Doubles:  mit  -  mit , :, :
2. Doppel
2nd Doubles:  mit  -  mit , :, :
3. Doppel
3rd Doubles:  mit  -  mit , :, :
1. Einzel
1st Singles:  - , :, :
2. Einzel
2nd Singles:  - , :, :</v>
      </c>
      <c r="AE39" s="17"/>
      <c r="AF39" s="17"/>
      <c r="AG39" s="17"/>
      <c r="AH39" s="17"/>
      <c r="AI39" s="17"/>
      <c r="AJ39" s="17"/>
      <c r="AK39" s="17"/>
      <c r="AL39" s="17"/>
      <c r="AM39" s="17"/>
    </row>
    <row r="40" s="11" customFormat="1" ht="26.25" customHeight="1">
      <c r="A40" s="33" t="s">
        <v>134</v>
      </c>
      <c r="B40" s="34"/>
      <c r="C40" s="35" t="s">
        <v>135</v>
      </c>
      <c r="D40" s="36" t="s">
        <v>136</v>
      </c>
      <c r="E40" s="37"/>
      <c r="F40" s="38" t="s">
        <v>135</v>
      </c>
      <c r="G40" s="39" t="s">
        <v>137</v>
      </c>
      <c r="H40" s="40"/>
      <c r="I40" s="41" t="s">
        <v>138</v>
      </c>
      <c r="J40" s="42"/>
      <c r="K40" s="41" t="s">
        <v>139</v>
      </c>
      <c r="L40" s="42"/>
      <c r="M40" s="43" t="s">
        <v>140</v>
      </c>
      <c r="N40" s="44"/>
      <c r="O40" s="45" t="s">
        <v>141</v>
      </c>
      <c r="P40" s="46"/>
      <c r="Q40" s="47" t="s">
        <v>142</v>
      </c>
      <c r="R40" s="48"/>
      <c r="S40" s="49" t="s">
        <v>143</v>
      </c>
      <c r="T40" s="50"/>
      <c r="V40" s="51" t="s">
        <v>144</v>
      </c>
      <c r="W40" s="52" t="s">
        <v>145</v>
      </c>
      <c r="Y40" s="30">
        <v>2</v>
      </c>
      <c r="Z40" s="31" t="e">
        <f>VLOOKUP(CONCATENATE($D36," ",Y40),Setzlisten!$A:$E,5,0)</f>
        <v>#N/A</v>
      </c>
      <c r="AA40" s="30" t="e">
        <f>VLOOKUP(CONCATENATE($D38," ",Y40),Setzlisten!$A:$E,5,0)</f>
        <v>#N/A</v>
      </c>
      <c r="AB40" s="31">
        <v>2</v>
      </c>
      <c r="AD40" s="32"/>
      <c r="AE40" s="17"/>
      <c r="AF40" s="17"/>
      <c r="AG40" s="17"/>
      <c r="AH40" s="17"/>
      <c r="AI40" s="17"/>
      <c r="AJ40" s="17"/>
      <c r="AK40" s="17"/>
      <c r="AL40" s="17"/>
      <c r="AM40" s="17"/>
    </row>
    <row r="41" s="11" customFormat="1" ht="29.25" customHeight="1">
      <c r="A41" s="53">
        <f>A10</f>
        <v>0.4375</v>
      </c>
      <c r="B41" s="34"/>
      <c r="C41" s="54"/>
      <c r="D41" s="55"/>
      <c r="E41" s="56"/>
      <c r="F41" s="57"/>
      <c r="G41" s="58"/>
      <c r="H41" s="40"/>
      <c r="I41" s="59"/>
      <c r="J41" s="60"/>
      <c r="K41" s="59"/>
      <c r="L41" s="60"/>
      <c r="M41" s="61"/>
      <c r="N41" s="62"/>
      <c r="O41" s="63" t="s">
        <v>146</v>
      </c>
      <c r="P41" s="64" t="s">
        <v>147</v>
      </c>
      <c r="Q41" s="65" t="s">
        <v>146</v>
      </c>
      <c r="R41" s="66" t="s">
        <v>147</v>
      </c>
      <c r="S41" s="64" t="s">
        <v>146</v>
      </c>
      <c r="T41" s="67" t="s">
        <v>147</v>
      </c>
      <c r="V41" s="68"/>
      <c r="W41" s="69"/>
      <c r="Y41" s="30">
        <v>3</v>
      </c>
      <c r="Z41" s="31" t="e">
        <f>VLOOKUP(CONCATENATE($D36," ",Y41),Setzlisten!$A:$E,5,0)</f>
        <v>#N/A</v>
      </c>
      <c r="AA41" s="30" t="e">
        <f>VLOOKUP(CONCATENATE($D38," ",Y41),Setzlisten!$A:$E,5,0)</f>
        <v>#N/A</v>
      </c>
      <c r="AB41" s="31">
        <v>3</v>
      </c>
      <c r="AD41" s="32"/>
      <c r="AE41" s="17"/>
      <c r="AF41" s="17"/>
      <c r="AG41" s="17"/>
      <c r="AH41" s="17"/>
      <c r="AI41" s="17"/>
      <c r="AJ41" s="17"/>
      <c r="AK41" s="17"/>
      <c r="AL41" s="17"/>
      <c r="AM41" s="17"/>
    </row>
    <row r="42" s="70" customFormat="1" ht="9">
      <c r="V42" s="30"/>
      <c r="W42" s="31"/>
      <c r="Y42" s="30">
        <v>4</v>
      </c>
      <c r="Z42" s="31" t="e">
        <f>VLOOKUP(CONCATENATE($D36," ",Y42),Setzlisten!$A:$E,5,0)</f>
        <v>#N/A</v>
      </c>
      <c r="AA42" s="30" t="e">
        <f>VLOOKUP(CONCATENATE($D38," ",Y42),Setzlisten!$A:$E,5,0)</f>
        <v>#N/A</v>
      </c>
      <c r="AB42" s="31">
        <v>4</v>
      </c>
      <c r="AD42" s="32"/>
    </row>
    <row r="43" s="11" customFormat="1" ht="24" customHeight="1">
      <c r="A43" s="71" t="s">
        <v>148</v>
      </c>
      <c r="C43" s="72">
        <f>IF(D43="",0,VLOOKUP(D43,$Z39:$AB53,3,0))</f>
        <v>0</v>
      </c>
      <c r="D43" s="73"/>
      <c r="E43" s="74"/>
      <c r="F43" s="75">
        <f>IF(G43="",0,VLOOKUP(G43,$AA39:$AB53,2,0))</f>
        <v>0</v>
      </c>
      <c r="G43" s="76"/>
      <c r="H43" s="148"/>
      <c r="I43" s="77"/>
      <c r="J43" s="78"/>
      <c r="K43" s="77"/>
      <c r="L43" s="78"/>
      <c r="M43" s="77"/>
      <c r="N43" s="79"/>
      <c r="O43" s="80" t="str">
        <f>IF(I43="","",SUM(I43,K43,M43))</f>
        <v/>
      </c>
      <c r="P43" s="81" t="str">
        <f>IF(J43="","",SUM(J43,L43,N43))</f>
        <v/>
      </c>
      <c r="Q43" s="82" t="str">
        <f>IF(I43="","",IF(I43&gt;J43,1,0)+IF(K43&gt;L43,1,0)+IF(M43="",0,IF(M43&gt;N43,1,0)))</f>
        <v/>
      </c>
      <c r="R43" s="83" t="str">
        <f>IF(I43="","",IF(J43&gt;I43,1,0)+IF(L43&gt;K43,1,0)+IF(M43="",0,IF(N43&gt;M43,1,0)))</f>
        <v/>
      </c>
      <c r="S43" s="84" t="str">
        <f>IF(I43="","",IF(Q43&gt;R43,1,0))</f>
        <v/>
      </c>
      <c r="T43" s="85" t="str">
        <f>IF(I43="","",IF(R43&gt;Q43,1,0))</f>
        <v/>
      </c>
      <c r="V43" s="86">
        <f>C43+C44</f>
        <v>0</v>
      </c>
      <c r="W43" s="87">
        <f>F43+F44</f>
        <v>0</v>
      </c>
      <c r="Y43" s="30">
        <v>5</v>
      </c>
      <c r="Z43" s="31" t="e">
        <f>VLOOKUP(CONCATENATE($D36," ",Y43),Setzlisten!$A:$E,5,0)</f>
        <v>#N/A</v>
      </c>
      <c r="AA43" s="30" t="e">
        <f>VLOOKUP(CONCATENATE($D38," ",Y43),Setzlisten!$A:$E,5,0)</f>
        <v>#N/A</v>
      </c>
      <c r="AB43" s="31">
        <v>5</v>
      </c>
      <c r="AD43" s="32"/>
    </row>
    <row r="44" s="11" customFormat="1" ht="24" customHeight="1">
      <c r="A44" s="88"/>
      <c r="C44" s="89">
        <f>IF(D44="",0,VLOOKUP(D44,$Z39:$AB53,3,0))</f>
        <v>0</v>
      </c>
      <c r="D44" s="90"/>
      <c r="E44" s="91"/>
      <c r="F44" s="92">
        <f>IF(G44="",0,VLOOKUP(G44,$AA39:$AB53,2,0))</f>
        <v>0</v>
      </c>
      <c r="G44" s="93"/>
      <c r="H44" s="148"/>
      <c r="I44" s="77"/>
      <c r="J44" s="78"/>
      <c r="K44" s="77"/>
      <c r="L44" s="78"/>
      <c r="M44" s="77"/>
      <c r="N44" s="79"/>
      <c r="O44" s="92"/>
      <c r="P44" s="94"/>
      <c r="Q44" s="89"/>
      <c r="R44" s="95"/>
      <c r="S44" s="96"/>
      <c r="T44" s="97"/>
      <c r="V44" s="98"/>
      <c r="W44" s="99"/>
      <c r="Y44" s="30">
        <v>6</v>
      </c>
      <c r="Z44" s="31" t="e">
        <f>VLOOKUP(CONCATENATE($D36," ",Y44),Setzlisten!$A:$E,5,0)</f>
        <v>#N/A</v>
      </c>
      <c r="AA44" s="30" t="e">
        <f>VLOOKUP(CONCATENATE($D38," ",Y44),Setzlisten!$A:$E,5,0)</f>
        <v>#N/A</v>
      </c>
      <c r="AB44" s="31">
        <v>6</v>
      </c>
      <c r="AD44" s="32"/>
    </row>
    <row r="45" s="11" customFormat="1" ht="24" customHeight="1">
      <c r="A45" s="71" t="s">
        <v>149</v>
      </c>
      <c r="C45" s="72">
        <f>IF(D45="",0,VLOOKUP(D45,$Z39:$AB53,3,0))</f>
        <v>0</v>
      </c>
      <c r="D45" s="73"/>
      <c r="E45" s="74"/>
      <c r="F45" s="75">
        <f>IF(G45="",0,VLOOKUP(G45,$AA39:$AB53,2,0))</f>
        <v>0</v>
      </c>
      <c r="G45" s="76"/>
      <c r="H45" s="148"/>
      <c r="I45" s="77"/>
      <c r="J45" s="100"/>
      <c r="K45" s="77"/>
      <c r="L45" s="78"/>
      <c r="M45" s="77"/>
      <c r="N45" s="79"/>
      <c r="O45" s="80" t="str">
        <f>IF(I45="","",SUM(I45,K45,M45))</f>
        <v/>
      </c>
      <c r="P45" s="81" t="str">
        <f t="shared" ref="P45:P50" si="47">IF(J45="","",SUM(J45,L45,N45))</f>
        <v/>
      </c>
      <c r="Q45" s="82" t="str">
        <f t="shared" ref="Q45:Q50" si="48">IF(I45="","",IF(I45&gt;J45,1,0)+IF(K45&gt;L45,1,0)+IF(M45="",0,IF(M45&gt;N45,1,0)))</f>
        <v/>
      </c>
      <c r="R45" s="83" t="str">
        <f t="shared" ref="R45:R50" si="49">IF(I45="","",IF(J45&gt;I45,1,0)+IF(L45&gt;K45,1,0)+IF(M45="",0,IF(N45&gt;M45,1,0)))</f>
        <v/>
      </c>
      <c r="S45" s="84" t="str">
        <f t="shared" ref="S45:S50" si="50">IF(I45="","",IF(Q45&gt;R45,1,0))</f>
        <v/>
      </c>
      <c r="T45" s="85" t="str">
        <f t="shared" ref="T45:T50" si="51">IF(I45="","",IF(R45&gt;Q45,1,0))</f>
        <v/>
      </c>
      <c r="V45" s="98">
        <f>C45+C46</f>
        <v>0</v>
      </c>
      <c r="W45" s="99">
        <f>F45+F46</f>
        <v>0</v>
      </c>
      <c r="Y45" s="30">
        <v>7</v>
      </c>
      <c r="Z45" s="31" t="e">
        <f>VLOOKUP(CONCATENATE($D36," ",Y45),Setzlisten!$A:$E,5,0)</f>
        <v>#N/A</v>
      </c>
      <c r="AA45" s="30" t="e">
        <f>VLOOKUP(CONCATENATE($D38," ",Y45),Setzlisten!$A:$E,5,0)</f>
        <v>#N/A</v>
      </c>
      <c r="AB45" s="31">
        <v>7</v>
      </c>
      <c r="AD45" s="101" t="s">
        <v>150</v>
      </c>
    </row>
    <row r="46" s="11" customFormat="1" ht="24" customHeight="1">
      <c r="A46" s="88"/>
      <c r="C46" s="89">
        <f>IF(D46="",0,VLOOKUP(D46,$Z39:$AB53,3,0))</f>
        <v>0</v>
      </c>
      <c r="D46" s="90"/>
      <c r="E46" s="91"/>
      <c r="F46" s="92">
        <f>IF(G46="",0,VLOOKUP(G46,$AA39:$AB53,2,0))</f>
        <v>0</v>
      </c>
      <c r="G46" s="93"/>
      <c r="H46" s="148"/>
      <c r="I46" s="77"/>
      <c r="J46" s="78"/>
      <c r="K46" s="77"/>
      <c r="L46" s="78"/>
      <c r="M46" s="77"/>
      <c r="N46" s="79"/>
      <c r="O46" s="92"/>
      <c r="P46" s="94"/>
      <c r="Q46" s="89"/>
      <c r="R46" s="95"/>
      <c r="S46" s="96"/>
      <c r="T46" s="97"/>
      <c r="V46" s="98"/>
      <c r="W46" s="99"/>
      <c r="Y46" s="30">
        <v>8</v>
      </c>
      <c r="Z46" s="31" t="e">
        <f>VLOOKUP(CONCATENATE($D36," ",Y46),Setzlisten!$A:$E,5,0)</f>
        <v>#N/A</v>
      </c>
      <c r="AA46" s="30" t="e">
        <f>VLOOKUP(CONCATENATE($D38," ",Y46),Setzlisten!$A:$E,5,0)</f>
        <v>#N/A</v>
      </c>
      <c r="AB46" s="31">
        <v>8</v>
      </c>
      <c r="AD46" s="101"/>
    </row>
    <row r="47" s="11" customFormat="1" ht="24" customHeight="1">
      <c r="A47" s="71" t="s">
        <v>151</v>
      </c>
      <c r="C47" s="72">
        <f>IF(D47="",0,VLOOKUP(D47,$Z39:$AB53,3,0))</f>
        <v>0</v>
      </c>
      <c r="D47" s="73"/>
      <c r="E47" s="74"/>
      <c r="F47" s="75">
        <f>IF(G47="",0,VLOOKUP(G47,$AA39:$AB53,2,0))</f>
        <v>0</v>
      </c>
      <c r="G47" s="76"/>
      <c r="H47" s="148"/>
      <c r="I47" s="77"/>
      <c r="J47" s="78"/>
      <c r="K47" s="77"/>
      <c r="L47" s="78"/>
      <c r="M47" s="77"/>
      <c r="N47" s="79"/>
      <c r="O47" s="80" t="str">
        <f>IF(I47="","",SUM(I47,K47,M47))</f>
        <v/>
      </c>
      <c r="P47" s="81" t="str">
        <f t="shared" si="47"/>
        <v/>
      </c>
      <c r="Q47" s="82" t="str">
        <f t="shared" si="48"/>
        <v/>
      </c>
      <c r="R47" s="83" t="str">
        <f t="shared" si="49"/>
        <v/>
      </c>
      <c r="S47" s="84" t="str">
        <f t="shared" si="50"/>
        <v/>
      </c>
      <c r="T47" s="85" t="str">
        <f t="shared" si="51"/>
        <v/>
      </c>
      <c r="V47" s="98">
        <f>C47+C48</f>
        <v>0</v>
      </c>
      <c r="W47" s="99">
        <f>F47+F48</f>
        <v>0</v>
      </c>
      <c r="Y47" s="30">
        <v>9</v>
      </c>
      <c r="Z47" s="31" t="e">
        <f>VLOOKUP(CONCATENATE($D36," ",Y47),Setzlisten!$A:$E,5,0)</f>
        <v>#N/A</v>
      </c>
      <c r="AA47" s="30" t="e">
        <f>VLOOKUP(CONCATENATE($D38," ",Y47),Setzlisten!$A:$E,5,0)</f>
        <v>#N/A</v>
      </c>
      <c r="AB47" s="31">
        <v>9</v>
      </c>
      <c r="AD47" s="32"/>
    </row>
    <row r="48" s="11" customFormat="1" ht="24" customHeight="1">
      <c r="A48" s="88"/>
      <c r="C48" s="89">
        <f>IF(D48="",0,VLOOKUP(D48,$Z39:$AB53,3,0))</f>
        <v>0</v>
      </c>
      <c r="D48" s="90"/>
      <c r="E48" s="91"/>
      <c r="F48" s="92">
        <f>IF(G48="",0,VLOOKUP(G48,$AA39:$AB53,2,0))</f>
        <v>0</v>
      </c>
      <c r="G48" s="93"/>
      <c r="H48" s="148"/>
      <c r="I48" s="77"/>
      <c r="J48" s="78"/>
      <c r="K48" s="77"/>
      <c r="L48" s="78"/>
      <c r="M48" s="77"/>
      <c r="N48" s="79"/>
      <c r="O48" s="92"/>
      <c r="P48" s="94"/>
      <c r="Q48" s="89"/>
      <c r="R48" s="95"/>
      <c r="S48" s="96"/>
      <c r="T48" s="97"/>
      <c r="V48" s="102"/>
      <c r="W48" s="103"/>
      <c r="Y48" s="30">
        <v>10</v>
      </c>
      <c r="Z48" s="31" t="e">
        <f>VLOOKUP(CONCATENATE($D36," ",Y48),Setzlisten!$A:$E,5,0)</f>
        <v>#N/A</v>
      </c>
      <c r="AA48" s="30" t="e">
        <f>VLOOKUP(CONCATENATE($D38," ",Y48),Setzlisten!$A:$E,5,0)</f>
        <v>#N/A</v>
      </c>
      <c r="AB48" s="31">
        <v>10</v>
      </c>
      <c r="AD48" s="32"/>
    </row>
    <row r="49" s="11" customFormat="1" ht="30" customHeight="1">
      <c r="A49" s="71" t="s">
        <v>152</v>
      </c>
      <c r="B49" s="104"/>
      <c r="C49" s="105">
        <f>IF(D49="",0,VLOOKUP(D49,$Z39:$AB53,3,0))</f>
        <v>0</v>
      </c>
      <c r="D49" s="106"/>
      <c r="E49" s="107"/>
      <c r="F49" s="108">
        <f>IF(G49="",0,VLOOKUP(G49,$AA39:$AB53,2,0))</f>
        <v>0</v>
      </c>
      <c r="G49" s="109"/>
      <c r="H49" s="148"/>
      <c r="I49" s="77"/>
      <c r="J49" s="78"/>
      <c r="K49" s="77"/>
      <c r="L49" s="78"/>
      <c r="M49" s="77"/>
      <c r="N49" s="79"/>
      <c r="O49" s="149" t="str">
        <f t="shared" ref="O49:O50" si="52">IF(I49="","",SUM(I49,K49,M49))</f>
        <v/>
      </c>
      <c r="P49" s="150" t="str">
        <f t="shared" si="47"/>
        <v/>
      </c>
      <c r="Q49" s="151" t="str">
        <f t="shared" si="48"/>
        <v/>
      </c>
      <c r="R49" s="152" t="str">
        <f t="shared" si="49"/>
        <v/>
      </c>
      <c r="S49" s="153" t="str">
        <f t="shared" si="50"/>
        <v/>
      </c>
      <c r="T49" s="154" t="str">
        <f t="shared" si="51"/>
        <v/>
      </c>
      <c r="V49" s="98">
        <f t="shared" ref="V49:V50" si="53">C49</f>
        <v>0</v>
      </c>
      <c r="W49" s="99">
        <f t="shared" ref="W49:W50" si="54">F49</f>
        <v>0</v>
      </c>
      <c r="Y49" s="30">
        <v>11</v>
      </c>
      <c r="Z49" s="31" t="e">
        <f>VLOOKUP(CONCATENATE($D36," ",Y49),Setzlisten!$A:$E,5,0)</f>
        <v>#N/A</v>
      </c>
      <c r="AA49" s="30" t="e">
        <f>VLOOKUP(CONCATENATE($D38," ",Y49),Setzlisten!$A:$E,5,0)</f>
        <v>#N/A</v>
      </c>
      <c r="AB49" s="31">
        <v>11</v>
      </c>
      <c r="AD49" s="32"/>
    </row>
    <row r="50" s="11" customFormat="1" ht="30" customHeight="1">
      <c r="A50" s="71" t="s">
        <v>153</v>
      </c>
      <c r="B50" s="104"/>
      <c r="C50" s="105">
        <f>IF(D50="",0,VLOOKUP(D50,$Z39:$AB53,3,0))</f>
        <v>0</v>
      </c>
      <c r="D50" s="106"/>
      <c r="E50" s="107"/>
      <c r="F50" s="108">
        <f>IF(G50="",0,VLOOKUP(G50,$AA39:$AB53,2,0))</f>
        <v>0</v>
      </c>
      <c r="G50" s="109"/>
      <c r="H50" s="148"/>
      <c r="I50" s="77"/>
      <c r="J50" s="78"/>
      <c r="K50" s="77"/>
      <c r="L50" s="78"/>
      <c r="M50" s="77"/>
      <c r="N50" s="79"/>
      <c r="O50" s="149" t="str">
        <f t="shared" si="52"/>
        <v/>
      </c>
      <c r="P50" s="150" t="str">
        <f t="shared" si="47"/>
        <v/>
      </c>
      <c r="Q50" s="151" t="str">
        <f t="shared" si="48"/>
        <v/>
      </c>
      <c r="R50" s="152" t="str">
        <f t="shared" si="49"/>
        <v/>
      </c>
      <c r="S50" s="153" t="str">
        <f t="shared" si="50"/>
        <v/>
      </c>
      <c r="T50" s="154" t="str">
        <f t="shared" si="51"/>
        <v/>
      </c>
      <c r="V50" s="102">
        <f t="shared" si="53"/>
        <v>0</v>
      </c>
      <c r="W50" s="103">
        <f t="shared" si="54"/>
        <v>0</v>
      </c>
      <c r="Y50" s="30">
        <v>12</v>
      </c>
      <c r="Z50" s="31" t="e">
        <f>VLOOKUP(CONCATENATE($D36," ",Y50),Setzlisten!$A:$E,5,0)</f>
        <v>#N/A</v>
      </c>
      <c r="AA50" s="30" t="e">
        <f>VLOOKUP(CONCATENATE($D38," ",Y50),Setzlisten!$A:$E,5,0)</f>
        <v>#N/A</v>
      </c>
      <c r="AB50" s="31">
        <v>12</v>
      </c>
      <c r="AD50" s="32"/>
    </row>
    <row r="51" s="70" customFormat="1" ht="9">
      <c r="Y51" s="30">
        <v>13</v>
      </c>
      <c r="Z51" s="31" t="e">
        <f>VLOOKUP(CONCATENATE($D36," ",Y51),Setzlisten!$A:$E,5,0)</f>
        <v>#N/A</v>
      </c>
      <c r="AA51" s="30" t="e">
        <f>VLOOKUP(CONCATENATE($D38," ",Y51),Setzlisten!$A:$E,5,0)</f>
        <v>#N/A</v>
      </c>
      <c r="AB51" s="31">
        <v>13</v>
      </c>
      <c r="AD51" s="32"/>
    </row>
    <row r="52" s="11" customFormat="1" ht="16.5">
      <c r="A52" s="114" t="s">
        <v>154</v>
      </c>
      <c r="B52" s="34"/>
      <c r="C52" s="115" t="s">
        <v>155</v>
      </c>
      <c r="D52" s="116"/>
      <c r="E52" s="117" t="str">
        <f>IF(S52="","",IF(S52&gt;T52,D36,D38))</f>
        <v/>
      </c>
      <c r="F52" s="118"/>
      <c r="G52" s="119"/>
      <c r="I52" s="115" t="s">
        <v>156</v>
      </c>
      <c r="J52" s="120"/>
      <c r="K52" s="120"/>
      <c r="L52" s="120"/>
      <c r="M52" s="120"/>
      <c r="N52" s="116"/>
      <c r="O52" s="82" t="str">
        <f t="shared" ref="O52:T52" si="55">IF(O43="","",SUM(O43:O50))</f>
        <v/>
      </c>
      <c r="P52" s="121" t="str">
        <f t="shared" si="55"/>
        <v/>
      </c>
      <c r="Q52" s="82" t="str">
        <f t="shared" si="55"/>
        <v/>
      </c>
      <c r="R52" s="121" t="str">
        <f t="shared" si="55"/>
        <v/>
      </c>
      <c r="S52" s="82" t="str">
        <f t="shared" si="55"/>
        <v/>
      </c>
      <c r="T52" s="122" t="str">
        <f t="shared" si="55"/>
        <v/>
      </c>
      <c r="Y52" s="30">
        <v>14</v>
      </c>
      <c r="Z52" s="31" t="e">
        <f>VLOOKUP(CONCATENATE($D36," ",Y52),Setzlisten!$A:$E,5,0)</f>
        <v>#N/A</v>
      </c>
      <c r="AA52" s="30" t="e">
        <f>VLOOKUP(CONCATENATE($D38," ",Y52),Setzlisten!$A:$E,5,0)</f>
        <v>#N/A</v>
      </c>
      <c r="AB52" s="31">
        <v>14</v>
      </c>
      <c r="AD52" s="32"/>
    </row>
    <row r="53" s="11" customFormat="1" ht="24">
      <c r="A53" s="53">
        <f>A22</f>
        <v>0.5</v>
      </c>
      <c r="B53" s="34"/>
      <c r="C53" s="123"/>
      <c r="D53" s="124"/>
      <c r="E53" s="125"/>
      <c r="F53" s="126"/>
      <c r="G53" s="127"/>
      <c r="I53" s="123"/>
      <c r="J53" s="128"/>
      <c r="K53" s="128"/>
      <c r="L53" s="128"/>
      <c r="M53" s="128"/>
      <c r="N53" s="124"/>
      <c r="O53" s="129"/>
      <c r="P53" s="130"/>
      <c r="Q53" s="129"/>
      <c r="R53" s="130"/>
      <c r="S53" s="129"/>
      <c r="T53" s="131"/>
      <c r="Y53" s="132">
        <v>15</v>
      </c>
      <c r="Z53" s="133" t="e">
        <f>VLOOKUP(CONCATENATE($D36," ",Y53),Setzlisten!$A:$E,5,0)</f>
        <v>#N/A</v>
      </c>
      <c r="AA53" s="132" t="e">
        <f>VLOOKUP(CONCATENATE($D38," ",Y53),Setzlisten!$A:$E,5,0)</f>
        <v>#N/A</v>
      </c>
      <c r="AB53" s="133">
        <v>15</v>
      </c>
    </row>
    <row r="54" s="11" customFormat="1" ht="15" customHeight="1">
      <c r="A54" s="15"/>
    </row>
    <row r="55" s="11" customFormat="1" ht="30" customHeight="1">
      <c r="B55" s="21"/>
      <c r="C55" s="21"/>
      <c r="D55" s="134" t="s">
        <v>157</v>
      </c>
      <c r="E55" s="134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</row>
    <row r="56" s="11" customFormat="1">
      <c r="A56" s="14"/>
      <c r="P56" s="136"/>
      <c r="Q56" s="136"/>
      <c r="R56" s="136"/>
      <c r="S56" s="136"/>
      <c r="T56" s="136"/>
    </row>
    <row r="57" s="11" customFormat="1" ht="30" customHeight="1">
      <c r="A57" s="137" t="s">
        <v>158</v>
      </c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</row>
    <row r="58" s="11" customFormat="1" ht="36" customHeight="1">
      <c r="A58" s="139" t="str">
        <f>Allgemeines!$B$3</f>
        <v>Hamburg</v>
      </c>
      <c r="B58" s="139"/>
      <c r="C58" s="139"/>
      <c r="D58" s="139"/>
      <c r="E58" s="140">
        <f>Allgemeines!$B$4</f>
        <v>46023</v>
      </c>
      <c r="G58" s="141"/>
      <c r="J58" s="141"/>
      <c r="K58" s="141"/>
      <c r="L58" s="141"/>
      <c r="M58" s="141"/>
      <c r="N58" s="141"/>
      <c r="P58" s="141"/>
      <c r="Q58" s="141"/>
      <c r="R58" s="141"/>
      <c r="S58" s="141"/>
      <c r="T58" s="141"/>
    </row>
    <row r="59" s="11" customFormat="1">
      <c r="A59" s="142"/>
      <c r="B59" s="142"/>
      <c r="C59" s="142"/>
      <c r="D59" s="142"/>
      <c r="E59" s="143"/>
      <c r="G59" s="144"/>
      <c r="J59" s="144"/>
      <c r="K59" s="144"/>
      <c r="L59" s="144"/>
      <c r="M59" s="144"/>
      <c r="N59" s="144"/>
      <c r="P59" s="144"/>
      <c r="Q59" s="144"/>
      <c r="R59" s="144"/>
      <c r="S59" s="144"/>
      <c r="T59" s="144"/>
    </row>
    <row r="60" s="11" customFormat="1" ht="16.5">
      <c r="A60" s="145" t="s">
        <v>159</v>
      </c>
      <c r="B60" s="145"/>
      <c r="C60" s="145"/>
      <c r="D60" s="145"/>
      <c r="E60" s="145" t="s">
        <v>160</v>
      </c>
      <c r="F60" s="40"/>
      <c r="G60" s="145" t="s">
        <v>2</v>
      </c>
      <c r="H60" s="40"/>
      <c r="I60" s="40"/>
      <c r="J60" s="146" t="s">
        <v>161</v>
      </c>
      <c r="K60" s="146"/>
      <c r="L60" s="146"/>
      <c r="M60" s="146"/>
      <c r="N60" s="146"/>
      <c r="O60" s="40"/>
      <c r="P60" s="146" t="s">
        <v>162</v>
      </c>
      <c r="Q60" s="146"/>
      <c r="R60" s="146"/>
      <c r="S60" s="146"/>
      <c r="T60" s="146"/>
    </row>
    <row r="61">
      <c r="G61" s="147" t="s">
        <v>163</v>
      </c>
      <c r="J61" s="147" t="s">
        <v>164</v>
      </c>
      <c r="K61" s="147"/>
      <c r="L61" s="147"/>
      <c r="M61" s="147"/>
      <c r="N61" s="147"/>
      <c r="P61" s="147" t="s">
        <v>165</v>
      </c>
      <c r="Q61" s="147"/>
      <c r="R61" s="147"/>
      <c r="S61" s="147"/>
      <c r="T61" s="147"/>
    </row>
    <row r="62">
      <c r="G62" s="141" t="str">
        <f>Allgemeines!$D$2</f>
        <v xml:space="preserve">George Washington</v>
      </c>
      <c r="J62" s="141" t="str">
        <f>IF(D36="","",VLOOKUP(D36,Allgemeines!$B$7:$D$12,3,0))</f>
        <v/>
      </c>
      <c r="K62" s="141"/>
      <c r="L62" s="141"/>
      <c r="M62" s="141"/>
      <c r="N62" s="141"/>
      <c r="P62" s="141" t="str">
        <f>IF(D38="","",VLOOKUP(D38,Allgemeines!$B$7:$D$12,3,0))</f>
        <v/>
      </c>
      <c r="Q62" s="141"/>
      <c r="R62" s="141"/>
      <c r="S62" s="141"/>
      <c r="T62" s="141"/>
    </row>
    <row r="63" ht="21">
      <c r="A63" s="9" t="s">
        <v>120</v>
      </c>
      <c r="F63" s="10" t="str">
        <f>IF(V74&gt;V76,CONCATENATE("Achtung! Teamreihenfolge ",D67," nicht richtig! 1. und 2. Doppel tauschen."),IF(V76&gt;V78,CONCATENATE("Achtung! Teamreihenfolge ",D67," nicht richtig! 2. und 3. Doppel tauschen."),IF(AND(V80&gt;=V81,V81&gt;0),CONCATENATE("Achtung! Teamreihenfolge ",D67," nicht richtig! Beide Einzel tauschen."),IF(W74&gt;W76,CONCATENATE("Achtung! Teamreihenfolge ",D69," nicht richtig! 1. und 2. Doppel tauschen."),IF(W76&gt;W78,CONCATENATE("Achtung! Teamreihenfolge ",D69," nicht richtig! 2. und 3. Doppel tauschen."),IF(AND(W80&gt;=W81,W81&gt;0),CONCATENATE("Achtung! Teamreihenfolge ",D69," nicht richtig! Beide Einzel tauschen."),""))))))</f>
        <v/>
      </c>
      <c r="G63" s="10"/>
      <c r="H63" s="10"/>
      <c r="I63" s="10"/>
      <c r="J63" s="10"/>
      <c r="K63" s="10"/>
      <c r="L63" s="10"/>
      <c r="M63" s="10"/>
      <c r="N63" s="10"/>
    </row>
    <row r="64" s="11" customFormat="1" ht="26.25">
      <c r="A64" s="12" t="s">
        <v>121</v>
      </c>
      <c r="B64" s="12"/>
      <c r="C64" s="12"/>
      <c r="D64" s="12"/>
      <c r="E64" s="12"/>
      <c r="F64" s="10"/>
      <c r="G64" s="10"/>
      <c r="H64" s="10"/>
      <c r="I64" s="10"/>
      <c r="J64" s="10"/>
      <c r="K64" s="10"/>
      <c r="L64" s="10"/>
      <c r="M64" s="10"/>
      <c r="N64" s="10"/>
    </row>
    <row r="65" s="11" customFormat="1" ht="26.25">
      <c r="A65" s="13" t="s">
        <v>122</v>
      </c>
      <c r="B65" s="12"/>
      <c r="C65" s="12"/>
      <c r="D65" s="12"/>
      <c r="E65" s="12"/>
      <c r="F65" s="10"/>
      <c r="G65" s="10"/>
      <c r="H65" s="10"/>
      <c r="I65" s="10"/>
      <c r="J65" s="10"/>
      <c r="K65" s="10"/>
      <c r="L65" s="10"/>
      <c r="M65" s="10"/>
      <c r="N65" s="10"/>
    </row>
    <row r="66" s="14" customFormat="1" ht="15" customHeight="1">
      <c r="A66" s="15"/>
      <c r="M66" s="16"/>
      <c r="V66" s="14"/>
      <c r="W66" s="14"/>
      <c r="AD66" s="17"/>
    </row>
    <row r="67" s="11" customFormat="1" ht="21" customHeight="1">
      <c r="A67" s="18" t="s">
        <v>123</v>
      </c>
      <c r="B67" s="18"/>
      <c r="C67" s="18"/>
      <c r="D67" s="19"/>
      <c r="E67" s="19"/>
      <c r="F67" s="19"/>
      <c r="G67" s="19"/>
      <c r="H67" s="19"/>
      <c r="K67" s="20"/>
      <c r="L67" s="21" t="s">
        <v>124</v>
      </c>
      <c r="M67" s="22" t="str">
        <f>Gruppe</f>
        <v>II</v>
      </c>
      <c r="N67" s="20"/>
      <c r="O67" s="20"/>
      <c r="P67" s="20"/>
      <c r="Q67" s="20"/>
      <c r="R67" s="20"/>
      <c r="S67" s="20"/>
      <c r="T67" s="20"/>
      <c r="V67" s="11"/>
      <c r="W67" s="23"/>
      <c r="AD67" s="17"/>
    </row>
    <row r="68" s="14" customFormat="1" ht="21" customHeight="1">
      <c r="C68" s="24" t="s">
        <v>125</v>
      </c>
      <c r="L68" s="24" t="s">
        <v>126</v>
      </c>
      <c r="M68" s="16"/>
      <c r="N68" s="16"/>
      <c r="O68" s="16"/>
      <c r="P68" s="16"/>
      <c r="Q68" s="16"/>
      <c r="V68" s="23"/>
      <c r="W68" s="23"/>
      <c r="AD68" s="17"/>
    </row>
    <row r="69" s="11" customFormat="1" ht="21" customHeight="1">
      <c r="A69" s="18" t="s">
        <v>127</v>
      </c>
      <c r="B69" s="18"/>
      <c r="C69" s="18"/>
      <c r="D69" s="19"/>
      <c r="E69" s="19"/>
      <c r="F69" s="19"/>
      <c r="G69" s="19"/>
      <c r="H69" s="19"/>
      <c r="J69" s="18" t="s">
        <v>128</v>
      </c>
      <c r="K69" s="18"/>
      <c r="L69" s="18"/>
      <c r="M69" s="22" t="str">
        <f>Austragungsort</f>
        <v xml:space="preserve">Sporthalle Berlin</v>
      </c>
      <c r="N69" s="25"/>
      <c r="O69" s="25"/>
      <c r="P69" s="25"/>
      <c r="Q69" s="25"/>
      <c r="R69" s="20"/>
      <c r="S69" s="20"/>
      <c r="T69" s="20"/>
      <c r="V69" s="23"/>
      <c r="W69" s="23"/>
      <c r="Y69" s="26" t="s">
        <v>129</v>
      </c>
      <c r="Z69" s="27"/>
      <c r="AA69" s="28" t="s">
        <v>130</v>
      </c>
      <c r="AB69" s="27"/>
      <c r="AD69" s="29" t="s">
        <v>131</v>
      </c>
      <c r="AE69" s="17"/>
      <c r="AF69" s="17"/>
      <c r="AG69" s="17"/>
      <c r="AH69" s="17"/>
      <c r="AI69" s="17"/>
      <c r="AJ69" s="17"/>
      <c r="AK69" s="17"/>
      <c r="AL69" s="17"/>
      <c r="AM69" s="17"/>
    </row>
    <row r="70" s="11" customFormat="1" ht="21">
      <c r="A70" s="15"/>
      <c r="C70" s="24" t="s">
        <v>132</v>
      </c>
      <c r="L70" s="24" t="s">
        <v>133</v>
      </c>
      <c r="V70" s="23"/>
      <c r="W70" s="23"/>
      <c r="Y70" s="30">
        <v>1</v>
      </c>
      <c r="Z70" s="31" t="e">
        <f>VLOOKUP(CONCATENATE($D67," ",Y70),Setzlisten!$A:$E,5,0)</f>
        <v>#N/A</v>
      </c>
      <c r="AA70" s="30" t="e">
        <f>VLOOKUP(CONCATENATE($D69," ",Y70),Setzlisten!$A:$E,5,0)</f>
        <v>#N/A</v>
      </c>
      <c r="AB70" s="31">
        <v>1</v>
      </c>
      <c r="AD70" s="32" t="str">
        <f>CONCATENATE(A74,": ",D74," mit ",D75," - ",G74," mit ",G75,", ",I74,":",J74,", ",K74,":",L74,IF(M74="","",CONCATENATE(", ",M74,":",N74)),CHAR(10),A76,": ",D76," mit ",D77," - ",G76," mit ",G77,", ",I76,":",J76,", ",K76,":",L76,IF(M76="","",CONCATENATE(", ",M76,":",N76)),CHAR(10),A78,": ",D78," mit ",D79," - ",G78," mit ",G79,", ",I78,":",J78,", ",K78,":",L78,IF(M78="","",CONCATENATE(", ",M78,":",N78)),CHAR(10),A80,": ",D80," - ",G80,", ",I80,":",J80,", ",K80,":",L80,IF(M80="","",CONCATENATE(", ",M80,":",N80)),CHAR(10),A81,": ",D81," - ",G81,", ",I81,":",J81,", ",K81,":",L81,IF(M81="","",CONCATENATE(", ",M81,":",N81)))</f>
        <v xml:space="preserve">1. Doppel
1st Doubles:  mit  -  mit , :, :
2. Doppel
2nd Doubles:  mit  -  mit , :, :
3. Doppel
3rd Doubles:  mit  -  mit , :, :
1. Einzel
1st Singles:  - , :, :
2. Einzel
2nd Singles:  - , :, :</v>
      </c>
      <c r="AE70" s="17"/>
      <c r="AF70" s="17"/>
      <c r="AG70" s="17"/>
      <c r="AH70" s="17"/>
      <c r="AI70" s="17"/>
      <c r="AJ70" s="17"/>
      <c r="AK70" s="17"/>
      <c r="AL70" s="17"/>
      <c r="AM70" s="17"/>
    </row>
    <row r="71" s="11" customFormat="1" ht="26.25" customHeight="1">
      <c r="A71" s="33" t="s">
        <v>134</v>
      </c>
      <c r="B71" s="34"/>
      <c r="C71" s="35" t="s">
        <v>135</v>
      </c>
      <c r="D71" s="36" t="s">
        <v>136</v>
      </c>
      <c r="E71" s="37"/>
      <c r="F71" s="38" t="s">
        <v>135</v>
      </c>
      <c r="G71" s="39" t="s">
        <v>137</v>
      </c>
      <c r="H71" s="40"/>
      <c r="I71" s="41" t="s">
        <v>138</v>
      </c>
      <c r="J71" s="42"/>
      <c r="K71" s="41" t="s">
        <v>139</v>
      </c>
      <c r="L71" s="42"/>
      <c r="M71" s="43" t="s">
        <v>140</v>
      </c>
      <c r="N71" s="44"/>
      <c r="O71" s="45" t="s">
        <v>141</v>
      </c>
      <c r="P71" s="46"/>
      <c r="Q71" s="47" t="s">
        <v>142</v>
      </c>
      <c r="R71" s="48"/>
      <c r="S71" s="49" t="s">
        <v>143</v>
      </c>
      <c r="T71" s="50"/>
      <c r="V71" s="51" t="s">
        <v>144</v>
      </c>
      <c r="W71" s="52" t="s">
        <v>145</v>
      </c>
      <c r="Y71" s="30">
        <v>2</v>
      </c>
      <c r="Z71" s="31" t="e">
        <f>VLOOKUP(CONCATENATE($D67," ",Y71),Setzlisten!$A:$E,5,0)</f>
        <v>#N/A</v>
      </c>
      <c r="AA71" s="30" t="e">
        <f>VLOOKUP(CONCATENATE($D69," ",Y71),Setzlisten!$A:$E,5,0)</f>
        <v>#N/A</v>
      </c>
      <c r="AB71" s="31">
        <v>2</v>
      </c>
      <c r="AD71" s="32"/>
      <c r="AE71" s="17"/>
      <c r="AF71" s="17"/>
      <c r="AG71" s="17"/>
      <c r="AH71" s="17"/>
      <c r="AI71" s="17"/>
      <c r="AJ71" s="17"/>
      <c r="AK71" s="17"/>
      <c r="AL71" s="17"/>
      <c r="AM71" s="17"/>
    </row>
    <row r="72" s="11" customFormat="1" ht="29.25" customHeight="1">
      <c r="A72" s="53">
        <f>A41</f>
        <v>0.4375</v>
      </c>
      <c r="B72" s="34"/>
      <c r="C72" s="54"/>
      <c r="D72" s="55"/>
      <c r="E72" s="56"/>
      <c r="F72" s="57"/>
      <c r="G72" s="58"/>
      <c r="H72" s="40"/>
      <c r="I72" s="59"/>
      <c r="J72" s="60"/>
      <c r="K72" s="59"/>
      <c r="L72" s="60"/>
      <c r="M72" s="61"/>
      <c r="N72" s="62"/>
      <c r="O72" s="63" t="s">
        <v>146</v>
      </c>
      <c r="P72" s="64" t="s">
        <v>147</v>
      </c>
      <c r="Q72" s="65" t="s">
        <v>146</v>
      </c>
      <c r="R72" s="66" t="s">
        <v>147</v>
      </c>
      <c r="S72" s="64" t="s">
        <v>146</v>
      </c>
      <c r="T72" s="67" t="s">
        <v>147</v>
      </c>
      <c r="V72" s="68"/>
      <c r="W72" s="69"/>
      <c r="Y72" s="30">
        <v>3</v>
      </c>
      <c r="Z72" s="31" t="e">
        <f>VLOOKUP(CONCATENATE($D67," ",Y72),Setzlisten!$A:$E,5,0)</f>
        <v>#N/A</v>
      </c>
      <c r="AA72" s="30" t="e">
        <f>VLOOKUP(CONCATENATE($D69," ",Y72),Setzlisten!$A:$E,5,0)</f>
        <v>#N/A</v>
      </c>
      <c r="AB72" s="31">
        <v>3</v>
      </c>
      <c r="AD72" s="32"/>
      <c r="AE72" s="17"/>
      <c r="AF72" s="17"/>
      <c r="AG72" s="17"/>
      <c r="AH72" s="17"/>
      <c r="AI72" s="17"/>
      <c r="AJ72" s="17"/>
      <c r="AK72" s="17"/>
      <c r="AL72" s="17"/>
      <c r="AM72" s="17"/>
    </row>
    <row r="73" s="70" customFormat="1" ht="9">
      <c r="V73" s="30"/>
      <c r="W73" s="31"/>
      <c r="Y73" s="30">
        <v>4</v>
      </c>
      <c r="Z73" s="31" t="e">
        <f>VLOOKUP(CONCATENATE($D67," ",Y73),Setzlisten!$A:$E,5,0)</f>
        <v>#N/A</v>
      </c>
      <c r="AA73" s="30" t="e">
        <f>VLOOKUP(CONCATENATE($D69," ",Y73),Setzlisten!$A:$E,5,0)</f>
        <v>#N/A</v>
      </c>
      <c r="AB73" s="31">
        <v>4</v>
      </c>
      <c r="AD73" s="32"/>
    </row>
    <row r="74" s="11" customFormat="1" ht="24" customHeight="1">
      <c r="A74" s="71" t="s">
        <v>148</v>
      </c>
      <c r="C74" s="72">
        <f>IF(D74="",0,VLOOKUP(D74,$Z70:$AB84,3,0))</f>
        <v>0</v>
      </c>
      <c r="D74" s="73"/>
      <c r="E74" s="74"/>
      <c r="F74" s="75">
        <f>IF(G74="",0,VLOOKUP(G74,$AA70:$AB84,2,0))</f>
        <v>0</v>
      </c>
      <c r="G74" s="76"/>
      <c r="H74" s="148"/>
      <c r="I74" s="77"/>
      <c r="J74" s="78"/>
      <c r="K74" s="77"/>
      <c r="L74" s="78"/>
      <c r="M74" s="77"/>
      <c r="N74" s="79"/>
      <c r="O74" s="80" t="str">
        <f>IF(I74="","",SUM(I74,K74,M74))</f>
        <v/>
      </c>
      <c r="P74" s="81" t="str">
        <f>IF(J74="","",SUM(J74,L74,N74))</f>
        <v/>
      </c>
      <c r="Q74" s="82" t="str">
        <f>IF(I74="","",IF(I74&gt;J74,1,0)+IF(K74&gt;L74,1,0)+IF(M74="",0,IF(M74&gt;N74,1,0)))</f>
        <v/>
      </c>
      <c r="R74" s="83" t="str">
        <f>IF(I74="","",IF(J74&gt;I74,1,0)+IF(L74&gt;K74,1,0)+IF(M74="",0,IF(N74&gt;M74,1,0)))</f>
        <v/>
      </c>
      <c r="S74" s="84" t="str">
        <f>IF(I74="","",IF(Q74&gt;R74,1,0))</f>
        <v/>
      </c>
      <c r="T74" s="85" t="str">
        <f>IF(I74="","",IF(R74&gt;Q74,1,0))</f>
        <v/>
      </c>
      <c r="V74" s="86">
        <f>C74+C75</f>
        <v>0</v>
      </c>
      <c r="W74" s="87">
        <f>F74+F75</f>
        <v>0</v>
      </c>
      <c r="Y74" s="30">
        <v>5</v>
      </c>
      <c r="Z74" s="31" t="e">
        <f>VLOOKUP(CONCATENATE($D67," ",Y74),Setzlisten!$A:$E,5,0)</f>
        <v>#N/A</v>
      </c>
      <c r="AA74" s="30" t="e">
        <f>VLOOKUP(CONCATENATE($D69," ",Y74),Setzlisten!$A:$E,5,0)</f>
        <v>#N/A</v>
      </c>
      <c r="AB74" s="31">
        <v>5</v>
      </c>
      <c r="AD74" s="32"/>
    </row>
    <row r="75" s="11" customFormat="1" ht="24" customHeight="1">
      <c r="A75" s="88"/>
      <c r="C75" s="89">
        <f>IF(D75="",0,VLOOKUP(D75,$Z70:$AB84,3,0))</f>
        <v>0</v>
      </c>
      <c r="D75" s="90"/>
      <c r="E75" s="91"/>
      <c r="F75" s="92">
        <f>IF(G75="",0,VLOOKUP(G75,$AA70:$AB84,2,0))</f>
        <v>0</v>
      </c>
      <c r="G75" s="93"/>
      <c r="H75" s="148"/>
      <c r="I75" s="77"/>
      <c r="J75" s="78"/>
      <c r="K75" s="77"/>
      <c r="L75" s="78"/>
      <c r="M75" s="77"/>
      <c r="N75" s="79"/>
      <c r="O75" s="92"/>
      <c r="P75" s="94"/>
      <c r="Q75" s="89"/>
      <c r="R75" s="95"/>
      <c r="S75" s="96"/>
      <c r="T75" s="97"/>
      <c r="V75" s="98"/>
      <c r="W75" s="99"/>
      <c r="Y75" s="30">
        <v>6</v>
      </c>
      <c r="Z75" s="31" t="e">
        <f>VLOOKUP(CONCATENATE($D67," ",Y75),Setzlisten!$A:$E,5,0)</f>
        <v>#N/A</v>
      </c>
      <c r="AA75" s="30" t="e">
        <f>VLOOKUP(CONCATENATE($D69," ",Y75),Setzlisten!$A:$E,5,0)</f>
        <v>#N/A</v>
      </c>
      <c r="AB75" s="31">
        <v>6</v>
      </c>
      <c r="AD75" s="32"/>
    </row>
    <row r="76" s="11" customFormat="1" ht="24" customHeight="1">
      <c r="A76" s="71" t="s">
        <v>149</v>
      </c>
      <c r="C76" s="72">
        <f>IF(D76="",0,VLOOKUP(D76,$Z70:$AB84,3,0))</f>
        <v>0</v>
      </c>
      <c r="D76" s="73"/>
      <c r="E76" s="74"/>
      <c r="F76" s="75">
        <f>IF(G76="",0,VLOOKUP(G76,$AA70:$AB84,2,0))</f>
        <v>0</v>
      </c>
      <c r="G76" s="76"/>
      <c r="H76" s="148"/>
      <c r="I76" s="77"/>
      <c r="J76" s="100"/>
      <c r="K76" s="77"/>
      <c r="L76" s="78"/>
      <c r="M76" s="77"/>
      <c r="N76" s="79"/>
      <c r="O76" s="80" t="str">
        <f>IF(I76="","",SUM(I76,K76,M76))</f>
        <v/>
      </c>
      <c r="P76" s="81" t="str">
        <f t="shared" ref="P76:P81" si="56">IF(J76="","",SUM(J76,L76,N76))</f>
        <v/>
      </c>
      <c r="Q76" s="82" t="str">
        <f t="shared" ref="Q76:Q81" si="57">IF(I76="","",IF(I76&gt;J76,1,0)+IF(K76&gt;L76,1,0)+IF(M76="",0,IF(M76&gt;N76,1,0)))</f>
        <v/>
      </c>
      <c r="R76" s="83" t="str">
        <f t="shared" ref="R76:R81" si="58">IF(I76="","",IF(J76&gt;I76,1,0)+IF(L76&gt;K76,1,0)+IF(M76="",0,IF(N76&gt;M76,1,0)))</f>
        <v/>
      </c>
      <c r="S76" s="84" t="str">
        <f t="shared" ref="S76:S81" si="59">IF(I76="","",IF(Q76&gt;R76,1,0))</f>
        <v/>
      </c>
      <c r="T76" s="85" t="str">
        <f t="shared" ref="T76:T81" si="60">IF(I76="","",IF(R76&gt;Q76,1,0))</f>
        <v/>
      </c>
      <c r="V76" s="98">
        <f>C76+C77</f>
        <v>0</v>
      </c>
      <c r="W76" s="99">
        <f>F76+F77</f>
        <v>0</v>
      </c>
      <c r="Y76" s="30">
        <v>7</v>
      </c>
      <c r="Z76" s="31" t="e">
        <f>VLOOKUP(CONCATENATE($D67," ",Y76),Setzlisten!$A:$E,5,0)</f>
        <v>#N/A</v>
      </c>
      <c r="AA76" s="30" t="e">
        <f>VLOOKUP(CONCATENATE($D69," ",Y76),Setzlisten!$A:$E,5,0)</f>
        <v>#N/A</v>
      </c>
      <c r="AB76" s="31">
        <v>7</v>
      </c>
      <c r="AD76" s="101" t="s">
        <v>150</v>
      </c>
    </row>
    <row r="77" s="11" customFormat="1" ht="24" customHeight="1">
      <c r="A77" s="88"/>
      <c r="C77" s="89">
        <f>IF(D77="",0,VLOOKUP(D77,$Z70:$AB84,3,0))</f>
        <v>0</v>
      </c>
      <c r="D77" s="90"/>
      <c r="E77" s="91"/>
      <c r="F77" s="92">
        <f>IF(G77="",0,VLOOKUP(G77,$AA70:$AB84,2,0))</f>
        <v>0</v>
      </c>
      <c r="G77" s="93"/>
      <c r="H77" s="148"/>
      <c r="I77" s="77"/>
      <c r="J77" s="78"/>
      <c r="K77" s="77"/>
      <c r="L77" s="78"/>
      <c r="M77" s="77"/>
      <c r="N77" s="79"/>
      <c r="O77" s="92"/>
      <c r="P77" s="94"/>
      <c r="Q77" s="89"/>
      <c r="R77" s="95"/>
      <c r="S77" s="96"/>
      <c r="T77" s="97"/>
      <c r="V77" s="98"/>
      <c r="W77" s="99"/>
      <c r="Y77" s="30">
        <v>8</v>
      </c>
      <c r="Z77" s="31" t="e">
        <f>VLOOKUP(CONCATENATE($D67," ",Y77),Setzlisten!$A:$E,5,0)</f>
        <v>#N/A</v>
      </c>
      <c r="AA77" s="30" t="e">
        <f>VLOOKUP(CONCATENATE($D69," ",Y77),Setzlisten!$A:$E,5,0)</f>
        <v>#N/A</v>
      </c>
      <c r="AB77" s="31">
        <v>8</v>
      </c>
      <c r="AD77" s="101"/>
    </row>
    <row r="78" s="11" customFormat="1" ht="24" customHeight="1">
      <c r="A78" s="71" t="s">
        <v>151</v>
      </c>
      <c r="C78" s="72">
        <f>IF(D78="",0,VLOOKUP(D78,$Z70:$AB84,3,0))</f>
        <v>0</v>
      </c>
      <c r="D78" s="73"/>
      <c r="E78" s="74"/>
      <c r="F78" s="75">
        <f>IF(G78="",0,VLOOKUP(G78,$AA70:$AB84,2,0))</f>
        <v>0</v>
      </c>
      <c r="G78" s="76"/>
      <c r="H78" s="148"/>
      <c r="I78" s="77"/>
      <c r="J78" s="78"/>
      <c r="K78" s="77"/>
      <c r="L78" s="78"/>
      <c r="M78" s="77"/>
      <c r="N78" s="79"/>
      <c r="O78" s="80" t="str">
        <f>IF(I78="","",SUM(I78,K78,M78))</f>
        <v/>
      </c>
      <c r="P78" s="81" t="str">
        <f t="shared" si="56"/>
        <v/>
      </c>
      <c r="Q78" s="82" t="str">
        <f t="shared" si="57"/>
        <v/>
      </c>
      <c r="R78" s="83" t="str">
        <f t="shared" si="58"/>
        <v/>
      </c>
      <c r="S78" s="84" t="str">
        <f t="shared" si="59"/>
        <v/>
      </c>
      <c r="T78" s="85" t="str">
        <f t="shared" si="60"/>
        <v/>
      </c>
      <c r="V78" s="98">
        <f>C78+C79</f>
        <v>0</v>
      </c>
      <c r="W78" s="99">
        <f>F78+F79</f>
        <v>0</v>
      </c>
      <c r="Y78" s="30">
        <v>9</v>
      </c>
      <c r="Z78" s="31" t="e">
        <f>VLOOKUP(CONCATENATE($D67," ",Y78),Setzlisten!$A:$E,5,0)</f>
        <v>#N/A</v>
      </c>
      <c r="AA78" s="30" t="e">
        <f>VLOOKUP(CONCATENATE($D69," ",Y78),Setzlisten!$A:$E,5,0)</f>
        <v>#N/A</v>
      </c>
      <c r="AB78" s="31">
        <v>9</v>
      </c>
      <c r="AD78" s="32"/>
    </row>
    <row r="79" s="11" customFormat="1" ht="24" customHeight="1">
      <c r="A79" s="88"/>
      <c r="C79" s="89">
        <f>IF(D79="",0,VLOOKUP(D79,$Z70:$AB84,3,0))</f>
        <v>0</v>
      </c>
      <c r="D79" s="90"/>
      <c r="E79" s="91"/>
      <c r="F79" s="92">
        <f>IF(G79="",0,VLOOKUP(G79,$AA70:$AB84,2,0))</f>
        <v>0</v>
      </c>
      <c r="G79" s="93"/>
      <c r="H79" s="148"/>
      <c r="I79" s="77"/>
      <c r="J79" s="78"/>
      <c r="K79" s="77"/>
      <c r="L79" s="78"/>
      <c r="M79" s="77"/>
      <c r="N79" s="79"/>
      <c r="O79" s="92"/>
      <c r="P79" s="94"/>
      <c r="Q79" s="89"/>
      <c r="R79" s="95"/>
      <c r="S79" s="96"/>
      <c r="T79" s="97"/>
      <c r="V79" s="102"/>
      <c r="W79" s="103"/>
      <c r="Y79" s="30">
        <v>10</v>
      </c>
      <c r="Z79" s="31" t="e">
        <f>VLOOKUP(CONCATENATE($D67," ",Y79),Setzlisten!$A:$E,5,0)</f>
        <v>#N/A</v>
      </c>
      <c r="AA79" s="30" t="e">
        <f>VLOOKUP(CONCATENATE($D69," ",Y79),Setzlisten!$A:$E,5,0)</f>
        <v>#N/A</v>
      </c>
      <c r="AB79" s="31">
        <v>10</v>
      </c>
      <c r="AD79" s="32"/>
    </row>
    <row r="80" s="11" customFormat="1" ht="30" customHeight="1">
      <c r="A80" s="71" t="s">
        <v>152</v>
      </c>
      <c r="B80" s="104"/>
      <c r="C80" s="105">
        <f>IF(D80="",0,VLOOKUP(D80,$Z70:$AB84,3,0))</f>
        <v>0</v>
      </c>
      <c r="D80" s="106"/>
      <c r="E80" s="107"/>
      <c r="F80" s="108">
        <f>IF(G80="",0,VLOOKUP(G80,$AA70:$AB84,2,0))</f>
        <v>0</v>
      </c>
      <c r="G80" s="109"/>
      <c r="H80" s="148"/>
      <c r="I80" s="77"/>
      <c r="J80" s="78"/>
      <c r="K80" s="77"/>
      <c r="L80" s="78"/>
      <c r="M80" s="77"/>
      <c r="N80" s="79"/>
      <c r="O80" s="149" t="str">
        <f t="shared" ref="O80:O81" si="61">IF(I80="","",SUM(I80,K80,M80))</f>
        <v/>
      </c>
      <c r="P80" s="150" t="str">
        <f t="shared" si="56"/>
        <v/>
      </c>
      <c r="Q80" s="151" t="str">
        <f t="shared" si="57"/>
        <v/>
      </c>
      <c r="R80" s="152" t="str">
        <f t="shared" si="58"/>
        <v/>
      </c>
      <c r="S80" s="153" t="str">
        <f t="shared" si="59"/>
        <v/>
      </c>
      <c r="T80" s="154" t="str">
        <f t="shared" si="60"/>
        <v/>
      </c>
      <c r="V80" s="98">
        <f t="shared" ref="V80:V81" si="62">C80</f>
        <v>0</v>
      </c>
      <c r="W80" s="99">
        <f t="shared" ref="W80:W81" si="63">F80</f>
        <v>0</v>
      </c>
      <c r="Y80" s="30">
        <v>11</v>
      </c>
      <c r="Z80" s="31" t="e">
        <f>VLOOKUP(CONCATENATE($D67," ",Y80),Setzlisten!$A:$E,5,0)</f>
        <v>#N/A</v>
      </c>
      <c r="AA80" s="30" t="e">
        <f>VLOOKUP(CONCATENATE($D69," ",Y80),Setzlisten!$A:$E,5,0)</f>
        <v>#N/A</v>
      </c>
      <c r="AB80" s="31">
        <v>11</v>
      </c>
      <c r="AD80" s="32"/>
    </row>
    <row r="81" s="11" customFormat="1" ht="30" customHeight="1">
      <c r="A81" s="71" t="s">
        <v>153</v>
      </c>
      <c r="B81" s="104"/>
      <c r="C81" s="105">
        <f>IF(D81="",0,VLOOKUP(D81,$Z70:$AB84,3,0))</f>
        <v>0</v>
      </c>
      <c r="D81" s="106"/>
      <c r="E81" s="107"/>
      <c r="F81" s="108">
        <f>IF(G81="",0,VLOOKUP(G81,$AA70:$AB84,2,0))</f>
        <v>0</v>
      </c>
      <c r="G81" s="109"/>
      <c r="H81" s="148"/>
      <c r="I81" s="77"/>
      <c r="J81" s="78"/>
      <c r="K81" s="77"/>
      <c r="L81" s="78"/>
      <c r="M81" s="77"/>
      <c r="N81" s="79"/>
      <c r="O81" s="149" t="str">
        <f t="shared" si="61"/>
        <v/>
      </c>
      <c r="P81" s="150" t="str">
        <f t="shared" si="56"/>
        <v/>
      </c>
      <c r="Q81" s="151" t="str">
        <f t="shared" si="57"/>
        <v/>
      </c>
      <c r="R81" s="152" t="str">
        <f t="shared" si="58"/>
        <v/>
      </c>
      <c r="S81" s="153" t="str">
        <f t="shared" si="59"/>
        <v/>
      </c>
      <c r="T81" s="154" t="str">
        <f t="shared" si="60"/>
        <v/>
      </c>
      <c r="V81" s="102">
        <f t="shared" si="62"/>
        <v>0</v>
      </c>
      <c r="W81" s="103">
        <f t="shared" si="63"/>
        <v>0</v>
      </c>
      <c r="Y81" s="30">
        <v>12</v>
      </c>
      <c r="Z81" s="31" t="e">
        <f>VLOOKUP(CONCATENATE($D67," ",Y81),Setzlisten!$A:$E,5,0)</f>
        <v>#N/A</v>
      </c>
      <c r="AA81" s="30" t="e">
        <f>VLOOKUP(CONCATENATE($D69," ",Y81),Setzlisten!$A:$E,5,0)</f>
        <v>#N/A</v>
      </c>
      <c r="AB81" s="31">
        <v>12</v>
      </c>
      <c r="AD81" s="32"/>
    </row>
    <row r="82" s="70" customFormat="1" ht="9">
      <c r="Y82" s="30">
        <v>13</v>
      </c>
      <c r="Z82" s="31" t="e">
        <f>VLOOKUP(CONCATENATE($D67," ",Y82),Setzlisten!$A:$E,5,0)</f>
        <v>#N/A</v>
      </c>
      <c r="AA82" s="30" t="e">
        <f>VLOOKUP(CONCATENATE($D69," ",Y82),Setzlisten!$A:$E,5,0)</f>
        <v>#N/A</v>
      </c>
      <c r="AB82" s="31">
        <v>13</v>
      </c>
      <c r="AD82" s="32"/>
    </row>
    <row r="83" s="11" customFormat="1" ht="15.75">
      <c r="A83" s="114" t="s">
        <v>154</v>
      </c>
      <c r="B83" s="34"/>
      <c r="C83" s="115" t="s">
        <v>155</v>
      </c>
      <c r="D83" s="116"/>
      <c r="E83" s="117" t="str">
        <f>IF(S83="","",IF(S83&gt;T83,D67,D69))</f>
        <v/>
      </c>
      <c r="F83" s="118"/>
      <c r="G83" s="119"/>
      <c r="I83" s="115" t="s">
        <v>156</v>
      </c>
      <c r="J83" s="120"/>
      <c r="K83" s="120"/>
      <c r="L83" s="120"/>
      <c r="M83" s="120"/>
      <c r="N83" s="116"/>
      <c r="O83" s="82" t="str">
        <f t="shared" ref="O83:T83" si="64">IF(O74="","",SUM(O74:O81))</f>
        <v/>
      </c>
      <c r="P83" s="121" t="str">
        <f t="shared" si="64"/>
        <v/>
      </c>
      <c r="Q83" s="82" t="str">
        <f t="shared" si="64"/>
        <v/>
      </c>
      <c r="R83" s="121" t="str">
        <f t="shared" si="64"/>
        <v/>
      </c>
      <c r="S83" s="82" t="str">
        <f t="shared" si="64"/>
        <v/>
      </c>
      <c r="T83" s="122" t="str">
        <f t="shared" si="64"/>
        <v/>
      </c>
      <c r="Y83" s="30">
        <v>14</v>
      </c>
      <c r="Z83" s="31" t="e">
        <f>VLOOKUP(CONCATENATE($D67," ",Y83),Setzlisten!$A:$E,5,0)</f>
        <v>#N/A</v>
      </c>
      <c r="AA83" s="30" t="e">
        <f>VLOOKUP(CONCATENATE($D69," ",Y83),Setzlisten!$A:$E,5,0)</f>
        <v>#N/A</v>
      </c>
      <c r="AB83" s="31">
        <v>14</v>
      </c>
      <c r="AD83" s="32"/>
    </row>
    <row r="84" s="11" customFormat="1" ht="23.25">
      <c r="A84" s="53">
        <f>A53</f>
        <v>0.5</v>
      </c>
      <c r="B84" s="34"/>
      <c r="C84" s="123"/>
      <c r="D84" s="124"/>
      <c r="E84" s="125"/>
      <c r="F84" s="126"/>
      <c r="G84" s="127"/>
      <c r="I84" s="123"/>
      <c r="J84" s="128"/>
      <c r="K84" s="128"/>
      <c r="L84" s="128"/>
      <c r="M84" s="128"/>
      <c r="N84" s="124"/>
      <c r="O84" s="129"/>
      <c r="P84" s="130"/>
      <c r="Q84" s="129"/>
      <c r="R84" s="130"/>
      <c r="S84" s="129"/>
      <c r="T84" s="131"/>
      <c r="Y84" s="132">
        <v>15</v>
      </c>
      <c r="Z84" s="133" t="e">
        <f>VLOOKUP(CONCATENATE($D67," ",Y84),Setzlisten!$A:$E,5,0)</f>
        <v>#N/A</v>
      </c>
      <c r="AA84" s="132" t="e">
        <f>VLOOKUP(CONCATENATE($D69," ",Y84),Setzlisten!$A:$E,5,0)</f>
        <v>#N/A</v>
      </c>
      <c r="AB84" s="133">
        <v>15</v>
      </c>
    </row>
    <row r="85" s="11" customFormat="1" ht="15" customHeight="1">
      <c r="A85" s="15"/>
    </row>
    <row r="86" s="11" customFormat="1" ht="30" customHeight="1">
      <c r="B86" s="21"/>
      <c r="C86" s="21"/>
      <c r="D86" s="134" t="s">
        <v>157</v>
      </c>
      <c r="E86" s="134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</row>
    <row r="87" s="11" customFormat="1">
      <c r="A87" s="14"/>
      <c r="P87" s="136"/>
      <c r="Q87" s="136"/>
      <c r="R87" s="136"/>
      <c r="S87" s="136"/>
      <c r="T87" s="136"/>
    </row>
    <row r="88" s="11" customFormat="1" ht="30" customHeight="1">
      <c r="A88" s="137" t="s">
        <v>158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</row>
    <row r="89" s="11" customFormat="1" ht="36" customHeight="1">
      <c r="A89" s="139" t="str">
        <f>Allgemeines!$B$3</f>
        <v>Hamburg</v>
      </c>
      <c r="B89" s="139"/>
      <c r="C89" s="139"/>
      <c r="D89" s="139"/>
      <c r="E89" s="140">
        <f>Allgemeines!$B$4</f>
        <v>46023</v>
      </c>
      <c r="G89" s="141"/>
      <c r="J89" s="141"/>
      <c r="K89" s="141"/>
      <c r="L89" s="141"/>
      <c r="M89" s="141"/>
      <c r="N89" s="141"/>
      <c r="P89" s="141"/>
      <c r="Q89" s="141"/>
      <c r="R89" s="141"/>
      <c r="S89" s="141"/>
      <c r="T89" s="141"/>
    </row>
    <row r="90" s="11" customFormat="1">
      <c r="A90" s="142"/>
      <c r="B90" s="142"/>
      <c r="C90" s="142"/>
      <c r="D90" s="142"/>
      <c r="E90" s="143"/>
      <c r="G90" s="144"/>
      <c r="J90" s="144"/>
      <c r="K90" s="144"/>
      <c r="L90" s="144"/>
      <c r="M90" s="144"/>
      <c r="N90" s="144"/>
      <c r="P90" s="144"/>
      <c r="Q90" s="144"/>
      <c r="R90" s="144"/>
      <c r="S90" s="144"/>
      <c r="T90" s="144"/>
    </row>
    <row r="91" s="11" customFormat="1" ht="15.75">
      <c r="A91" s="145" t="s">
        <v>159</v>
      </c>
      <c r="B91" s="145"/>
      <c r="C91" s="145"/>
      <c r="D91" s="145"/>
      <c r="E91" s="145" t="s">
        <v>160</v>
      </c>
      <c r="F91" s="40"/>
      <c r="G91" s="145" t="s">
        <v>2</v>
      </c>
      <c r="H91" s="40"/>
      <c r="I91" s="40"/>
      <c r="J91" s="146" t="s">
        <v>161</v>
      </c>
      <c r="K91" s="146"/>
      <c r="L91" s="146"/>
      <c r="M91" s="146"/>
      <c r="N91" s="146"/>
      <c r="O91" s="40"/>
      <c r="P91" s="146" t="s">
        <v>162</v>
      </c>
      <c r="Q91" s="146"/>
      <c r="R91" s="146"/>
      <c r="S91" s="146"/>
      <c r="T91" s="146"/>
    </row>
    <row r="92">
      <c r="G92" s="147" t="s">
        <v>163</v>
      </c>
      <c r="J92" s="147" t="s">
        <v>164</v>
      </c>
      <c r="K92" s="147"/>
      <c r="L92" s="147"/>
      <c r="M92" s="147"/>
      <c r="N92" s="147"/>
      <c r="P92" s="147" t="s">
        <v>165</v>
      </c>
      <c r="Q92" s="147"/>
      <c r="R92" s="147"/>
      <c r="S92" s="147"/>
      <c r="T92" s="147"/>
    </row>
    <row r="93">
      <c r="G93" s="141" t="str">
        <f>Allgemeines!$D$2</f>
        <v xml:space="preserve">George Washington</v>
      </c>
      <c r="J93" s="141" t="str">
        <f>IF(D67="","",VLOOKUP(D67,Allgemeines!$B$7:$D$12,3,0))</f>
        <v/>
      </c>
      <c r="K93" s="141"/>
      <c r="L93" s="141"/>
      <c r="M93" s="141"/>
      <c r="N93" s="141"/>
      <c r="P93" s="141" t="str">
        <f>IF(D69="","",VLOOKUP(D69,Allgemeines!$B$7:$D$12,3,0))</f>
        <v/>
      </c>
      <c r="Q93" s="141"/>
      <c r="R93" s="141"/>
      <c r="S93" s="141"/>
      <c r="T93" s="141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97">
    <mergeCell ref="F1:N3"/>
    <mergeCell ref="A5:C5"/>
    <mergeCell ref="D5:H5"/>
    <mergeCell ref="A7:C7"/>
    <mergeCell ref="D7:H7"/>
    <mergeCell ref="J7:L7"/>
    <mergeCell ref="AD8:AD13"/>
    <mergeCell ref="C9:C10"/>
    <mergeCell ref="D9:E10"/>
    <mergeCell ref="F9:F10"/>
    <mergeCell ref="G9:G10"/>
    <mergeCell ref="I9:J10"/>
    <mergeCell ref="K9:L10"/>
    <mergeCell ref="M9:N10"/>
    <mergeCell ref="O9:P9"/>
    <mergeCell ref="Q9:R9"/>
    <mergeCell ref="S9:T9"/>
    <mergeCell ref="V9:V10"/>
    <mergeCell ref="W9:W10"/>
    <mergeCell ref="A12:A13"/>
    <mergeCell ref="D12:E12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V12:V13"/>
    <mergeCell ref="W12:W13"/>
    <mergeCell ref="D13:E13"/>
    <mergeCell ref="A14:A15"/>
    <mergeCell ref="D14:E14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V14:V15"/>
    <mergeCell ref="W14:W15"/>
    <mergeCell ref="AD14:AD15"/>
    <mergeCell ref="D15:E15"/>
    <mergeCell ref="A16:A17"/>
    <mergeCell ref="D16:E16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V16:V17"/>
    <mergeCell ref="W16:W17"/>
    <mergeCell ref="AD16:AD21"/>
    <mergeCell ref="D17:E17"/>
    <mergeCell ref="D18:E18"/>
    <mergeCell ref="D19:E19"/>
    <mergeCell ref="C21:D22"/>
    <mergeCell ref="E21:G22"/>
    <mergeCell ref="I21:N22"/>
    <mergeCell ref="O21:O22"/>
    <mergeCell ref="P21:P22"/>
    <mergeCell ref="Q21:Q22"/>
    <mergeCell ref="R21:R22"/>
    <mergeCell ref="S21:S22"/>
    <mergeCell ref="T21:T22"/>
    <mergeCell ref="D24:E24"/>
    <mergeCell ref="F24:T24"/>
    <mergeCell ref="P25:T25"/>
    <mergeCell ref="A26:T26"/>
    <mergeCell ref="A27:D28"/>
    <mergeCell ref="E27:E28"/>
    <mergeCell ref="G27:G28"/>
    <mergeCell ref="J27:N28"/>
    <mergeCell ref="P27:T28"/>
    <mergeCell ref="A29:D29"/>
    <mergeCell ref="J29:N29"/>
    <mergeCell ref="P29:T29"/>
    <mergeCell ref="J30:N30"/>
    <mergeCell ref="P30:T30"/>
    <mergeCell ref="J31:N31"/>
    <mergeCell ref="P31:T31"/>
    <mergeCell ref="F32:N34"/>
    <mergeCell ref="A36:C36"/>
    <mergeCell ref="D36:H36"/>
    <mergeCell ref="A38:C38"/>
    <mergeCell ref="D38:H38"/>
    <mergeCell ref="J38:L38"/>
    <mergeCell ref="AD39:AD44"/>
    <mergeCell ref="C40:C41"/>
    <mergeCell ref="D40:E41"/>
    <mergeCell ref="F40:F41"/>
    <mergeCell ref="G40:G41"/>
    <mergeCell ref="I40:J41"/>
    <mergeCell ref="K40:L41"/>
    <mergeCell ref="M40:N41"/>
    <mergeCell ref="O40:P40"/>
    <mergeCell ref="Q40:R40"/>
    <mergeCell ref="S40:T40"/>
    <mergeCell ref="V40:V41"/>
    <mergeCell ref="W40:W41"/>
    <mergeCell ref="A43:A44"/>
    <mergeCell ref="D43:E43"/>
    <mergeCell ref="I43:I44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S43:S44"/>
    <mergeCell ref="T43:T44"/>
    <mergeCell ref="V43:V44"/>
    <mergeCell ref="W43:W44"/>
    <mergeCell ref="D44:E44"/>
    <mergeCell ref="A45:A46"/>
    <mergeCell ref="D45:E45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T45:T46"/>
    <mergeCell ref="V45:V46"/>
    <mergeCell ref="W45:W46"/>
    <mergeCell ref="AD45:AD46"/>
    <mergeCell ref="D46:E46"/>
    <mergeCell ref="A47:A48"/>
    <mergeCell ref="D47:E47"/>
    <mergeCell ref="I47:I48"/>
    <mergeCell ref="J47:J48"/>
    <mergeCell ref="K47:K48"/>
    <mergeCell ref="L47:L48"/>
    <mergeCell ref="M47:M48"/>
    <mergeCell ref="N47:N48"/>
    <mergeCell ref="O47:O48"/>
    <mergeCell ref="P47:P48"/>
    <mergeCell ref="Q47:Q48"/>
    <mergeCell ref="R47:R48"/>
    <mergeCell ref="S47:S48"/>
    <mergeCell ref="T47:T48"/>
    <mergeCell ref="V47:V48"/>
    <mergeCell ref="W47:W48"/>
    <mergeCell ref="AD47:AD52"/>
    <mergeCell ref="D48:E48"/>
    <mergeCell ref="D49:E49"/>
    <mergeCell ref="D50:E50"/>
    <mergeCell ref="C52:D53"/>
    <mergeCell ref="E52:G53"/>
    <mergeCell ref="I52:N53"/>
    <mergeCell ref="O52:O53"/>
    <mergeCell ref="P52:P53"/>
    <mergeCell ref="Q52:Q53"/>
    <mergeCell ref="R52:R53"/>
    <mergeCell ref="S52:S53"/>
    <mergeCell ref="T52:T53"/>
    <mergeCell ref="D55:E55"/>
    <mergeCell ref="F55:T55"/>
    <mergeCell ref="P56:T56"/>
    <mergeCell ref="A57:T57"/>
    <mergeCell ref="A58:D59"/>
    <mergeCell ref="E58:E59"/>
    <mergeCell ref="G58:G59"/>
    <mergeCell ref="J58:N59"/>
    <mergeCell ref="P58:T59"/>
    <mergeCell ref="A60:D60"/>
    <mergeCell ref="J60:N60"/>
    <mergeCell ref="P60:T60"/>
    <mergeCell ref="J61:N61"/>
    <mergeCell ref="P61:T61"/>
    <mergeCell ref="J62:N62"/>
    <mergeCell ref="P62:T62"/>
    <mergeCell ref="F63:N65"/>
    <mergeCell ref="A67:C67"/>
    <mergeCell ref="D67:H67"/>
    <mergeCell ref="A69:C69"/>
    <mergeCell ref="D69:H69"/>
    <mergeCell ref="J69:L69"/>
    <mergeCell ref="AD70:AD75"/>
    <mergeCell ref="C71:C72"/>
    <mergeCell ref="D71:E72"/>
    <mergeCell ref="F71:F72"/>
    <mergeCell ref="G71:G72"/>
    <mergeCell ref="I71:J72"/>
    <mergeCell ref="K71:L72"/>
    <mergeCell ref="M71:N72"/>
    <mergeCell ref="O71:P71"/>
    <mergeCell ref="Q71:R71"/>
    <mergeCell ref="S71:T71"/>
    <mergeCell ref="V71:V72"/>
    <mergeCell ref="W71:W72"/>
    <mergeCell ref="A74:A75"/>
    <mergeCell ref="D74:E74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V74:V75"/>
    <mergeCell ref="W74:W75"/>
    <mergeCell ref="D75:E75"/>
    <mergeCell ref="A76:A77"/>
    <mergeCell ref="D76:E76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V76:V77"/>
    <mergeCell ref="W76:W77"/>
    <mergeCell ref="AD76:AD77"/>
    <mergeCell ref="D77:E77"/>
    <mergeCell ref="A78:A79"/>
    <mergeCell ref="D78:E78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V78:V79"/>
    <mergeCell ref="W78:W79"/>
    <mergeCell ref="AD78:AD83"/>
    <mergeCell ref="D79:E79"/>
    <mergeCell ref="D80:E80"/>
    <mergeCell ref="D81:E81"/>
    <mergeCell ref="C83:D84"/>
    <mergeCell ref="E83:G84"/>
    <mergeCell ref="I83:N84"/>
    <mergeCell ref="O83:O84"/>
    <mergeCell ref="P83:P84"/>
    <mergeCell ref="Q83:Q84"/>
    <mergeCell ref="R83:R84"/>
    <mergeCell ref="S83:S84"/>
    <mergeCell ref="T83:T84"/>
    <mergeCell ref="D86:E86"/>
    <mergeCell ref="F86:T86"/>
    <mergeCell ref="P87:T87"/>
    <mergeCell ref="A88:T88"/>
    <mergeCell ref="A89:D90"/>
    <mergeCell ref="E89:E90"/>
    <mergeCell ref="G89:G90"/>
    <mergeCell ref="J89:N90"/>
    <mergeCell ref="P89:T90"/>
    <mergeCell ref="A91:D91"/>
    <mergeCell ref="J91:N91"/>
    <mergeCell ref="P91:T91"/>
    <mergeCell ref="J92:N92"/>
    <mergeCell ref="P92:T92"/>
    <mergeCell ref="J93:N93"/>
    <mergeCell ref="P93:T93"/>
  </mergeCells>
  <dataValidations count="1" disablePrompts="0">
    <dataValidation sqref="D5:H5 D7:H7 D36:H36 D38:H38 D67:H67 D69:H69" type="list" allowBlank="1" errorStyle="stop" imeMode="noControl" operator="between" showDropDown="0" showErrorMessage="1" showInputMessage="1">
      <formula1>Allgemeines!$B$7:$B$12</formula1>
    </dataValidation>
  </dataValidations>
  <printOptions headings="0" gridLines="0"/>
  <pageMargins left="0.70866141732283472" right="0.70866141732283472" top="0.78740157480314954" bottom="0.78740157480314954" header="0.70866141732283472" footer="0.31496062992125984"/>
  <pageSetup paperSize="9" scale="77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&amp;R&amp;G</oddHeader>
  </headerFooter>
  <rowBreaks count="2" manualBreakCount="2">
    <brk id="31" man="1" max="19"/>
    <brk id="62" man="1" max="19"/>
  </rowBreaks>
  <legacyDrawingHF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00CD0014-00E0-4A58-99AE-009F009F0002}">
            <xm:f>0</xm:f>
            <x14:dxf>
              <font>
                <color theme="0"/>
              </font>
            </x14:dxf>
          </x14:cfRule>
          <xm:sqref>C12:C19 F12:F19</xm:sqref>
        </x14:conditionalFormatting>
        <x14:conditionalFormatting xmlns:xm="http://schemas.microsoft.com/office/excel/2006/main">
          <x14:cfRule type="cellIs" priority="5" operator="equal" id="{000900D3-00B2-498A-950E-00E00096004E}">
            <xm:f>0</xm:f>
            <x14:dxf>
              <font>
                <color theme="0"/>
              </font>
            </x14:dxf>
          </x14:cfRule>
          <xm:sqref>C43:C50</xm:sqref>
        </x14:conditionalFormatting>
        <x14:conditionalFormatting xmlns:xm="http://schemas.microsoft.com/office/excel/2006/main">
          <x14:cfRule type="cellIs" priority="3" operator="equal" id="{008500AA-000B-4D13-81E7-007B00F400AD}">
            <xm:f>0</xm:f>
            <x14:dxf>
              <font>
                <color theme="0"/>
              </font>
            </x14:dxf>
          </x14:cfRule>
          <xm:sqref>C74:C81</xm:sqref>
        </x14:conditionalFormatting>
        <x14:conditionalFormatting xmlns:xm="http://schemas.microsoft.com/office/excel/2006/main">
          <x14:cfRule type="cellIs" priority="2" operator="equal" id="{004B00DE-001D-4A49-841F-0099006800C2}">
            <xm:f>0</xm:f>
            <x14:dxf>
              <font>
                <color theme="0"/>
              </font>
            </x14:dxf>
          </x14:cfRule>
          <xm:sqref>F43:F50</xm:sqref>
        </x14:conditionalFormatting>
        <x14:conditionalFormatting xmlns:xm="http://schemas.microsoft.com/office/excel/2006/main">
          <x14:cfRule type="cellIs" priority="1" operator="equal" id="{00AC00E2-0085-415D-837C-0071007D00BD}">
            <xm:f>0</xm:f>
            <x14:dxf>
              <font>
                <color theme="0"/>
              </font>
            </x14:dxf>
          </x14:cfRule>
          <xm:sqref>F74:F81</xm:sqref>
        </x14:conditionalFormatting>
        <x14:conditionalFormatting xmlns:xm="http://schemas.microsoft.com/office/excel/2006/main">
          <x14:cfRule type="cellIs" priority="8" operator="greaterThan" stopIfTrue="1" id="{002200AF-007C-4775-A9F1-00A800C2001B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I12:N19</xm:sqref>
        </x14:conditionalFormatting>
        <x14:conditionalFormatting xmlns:xm="http://schemas.microsoft.com/office/excel/2006/main">
          <x14:cfRule type="cellIs" priority="6" operator="greaterThan" stopIfTrue="1" id="{00F70008-000B-4135-B736-0061002A0070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I43:N50</xm:sqref>
        </x14:conditionalFormatting>
        <x14:conditionalFormatting xmlns:xm="http://schemas.microsoft.com/office/excel/2006/main">
          <x14:cfRule type="cellIs" priority="4" operator="greaterThan" stopIfTrue="1" id="{007C0008-0047-41BF-9F13-006900A10073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I74:N81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6" disablePrompts="0">
        <x14:dataValidation xr:uid="{001B00CE-0074-41FF-98DD-0091007A00C4}" type="list" allowBlank="1" errorStyle="stop" imeMode="noControl" operator="between" showDropDown="0" showErrorMessage="1" showInputMessage="1">
          <x14:formula1>
            <xm:f>$AA8:$AA22</xm:f>
          </x14:formula1>
          <xm:sqref>G19 G50 G81</xm:sqref>
        </x14:dataValidation>
        <x14:dataValidation xr:uid="{006200CD-006F-43F2-A54F-00C000760036}" type="list" allowBlank="1" errorStyle="stop" imeMode="noControl" operator="between" showDropDown="0" showErrorMessage="1" showInputMessage="1">
          <x14:formula1>
            <xm:f>$AA8:$AA22</xm:f>
          </x14:formula1>
          <xm:sqref>G18 G49 G80</xm:sqref>
        </x14:dataValidation>
        <x14:dataValidation xr:uid="{00AD00C5-00EE-443A-A3A6-00E6002E0099}" type="list" allowBlank="1" errorStyle="stop" imeMode="noControl" operator="between" showDropDown="0" showErrorMessage="1" showInputMessage="1">
          <x14:formula1>
            <xm:f>$AA8:$AA22</xm:f>
          </x14:formula1>
          <xm:sqref>G17 G48 G79</xm:sqref>
        </x14:dataValidation>
        <x14:dataValidation xr:uid="{003A00CB-0073-4B75-9DCE-006A002E0090}" type="list" allowBlank="1" errorStyle="stop" imeMode="noControl" operator="between" showDropDown="0" showErrorMessage="1" showInputMessage="1">
          <x14:formula1>
            <xm:f>$AA8:$AA22</xm:f>
          </x14:formula1>
          <xm:sqref>G16 G47 G78</xm:sqref>
        </x14:dataValidation>
        <x14:dataValidation xr:uid="{00070007-002A-45D0-9F02-005C005C00ED}" type="list" allowBlank="1" errorStyle="stop" imeMode="noControl" operator="between" showDropDown="0" showErrorMessage="1" showInputMessage="1">
          <x14:formula1>
            <xm:f>$AA8:$AA22</xm:f>
          </x14:formula1>
          <xm:sqref>G15 G46 G77</xm:sqref>
        </x14:dataValidation>
        <x14:dataValidation xr:uid="{00D100F5-0080-4237-BB8A-00B200C800A0}" type="list" allowBlank="1" errorStyle="stop" imeMode="noControl" operator="between" showDropDown="0" showErrorMessage="1" showInputMessage="1">
          <x14:formula1>
            <xm:f>$AA8:$AA22</xm:f>
          </x14:formula1>
          <xm:sqref>G14 G45 G76</xm:sqref>
        </x14:dataValidation>
        <x14:dataValidation xr:uid="{005A0096-0065-43CA-B3BB-009F00DB00AE}" type="list" allowBlank="1" errorStyle="stop" imeMode="noControl" operator="between" showDropDown="0" showErrorMessage="1" showInputMessage="1">
          <x14:formula1>
            <xm:f>$AA8:$AA22</xm:f>
          </x14:formula1>
          <xm:sqref>G13 G44 G75</xm:sqref>
        </x14:dataValidation>
        <x14:dataValidation xr:uid="{00600043-0074-4F73-9B07-00A900000093}" type="list" allowBlank="1" errorStyle="stop" imeMode="noControl" operator="between" showDropDown="0" showErrorMessage="1" showInputMessage="1">
          <x14:formula1>
            <xm:f>$AA8:$AA22</xm:f>
          </x14:formula1>
          <xm:sqref>G12 G43 G74</xm:sqref>
        </x14:dataValidation>
        <x14:dataValidation xr:uid="{006900A8-0054-48C9-ACC0-004D009F00D0}" type="list" allowBlank="1" errorStyle="stop" imeMode="noControl" operator="between" showDropDown="0" showErrorMessage="1" showInputMessage="1">
          <x14:formula1>
            <xm:f>$Z8:$Z22</xm:f>
          </x14:formula1>
          <xm:sqref>D19:E19 D50:E50 D81:E81</xm:sqref>
        </x14:dataValidation>
        <x14:dataValidation xr:uid="{00890025-00F2-48DA-BA4A-00FC005A001C}" type="list" allowBlank="1" errorStyle="stop" imeMode="noControl" operator="between" showDropDown="0" showErrorMessage="1" showInputMessage="1">
          <x14:formula1>
            <xm:f>$Z8:$Z22</xm:f>
          </x14:formula1>
          <xm:sqref>D18:E18 D49:E49 D80:E80</xm:sqref>
        </x14:dataValidation>
        <x14:dataValidation xr:uid="{00BD00F1-0007-4C29-B54D-007100C400CD}" type="list" allowBlank="1" errorStyle="stop" imeMode="noControl" operator="between" showDropDown="0" showErrorMessage="1" showInputMessage="1">
          <x14:formula1>
            <xm:f>$Z8:$Z22</xm:f>
          </x14:formula1>
          <xm:sqref>D17:E17 D48:E48 D79:E79</xm:sqref>
        </x14:dataValidation>
        <x14:dataValidation xr:uid="{00DF00DC-0009-4D0E-8E81-00C6009A0008}" type="list" allowBlank="1" errorStyle="stop" imeMode="noControl" operator="between" showDropDown="0" showErrorMessage="1" showInputMessage="1">
          <x14:formula1>
            <xm:f>$Z8:$Z22</xm:f>
          </x14:formula1>
          <xm:sqref>D16:E16 D47:E47 D78:E78</xm:sqref>
        </x14:dataValidation>
        <x14:dataValidation xr:uid="{009A00DA-0028-447D-8275-0080002900A8}" type="list" allowBlank="1" errorStyle="stop" imeMode="noControl" operator="between" showDropDown="0" showErrorMessage="1" showInputMessage="1">
          <x14:formula1>
            <xm:f>$Z8:$Z22</xm:f>
          </x14:formula1>
          <xm:sqref>D15:E15 D46:E46 D77:E77</xm:sqref>
        </x14:dataValidation>
        <x14:dataValidation xr:uid="{009600E6-0013-4AC9-B184-00EE00D70082}" type="list" allowBlank="1" errorStyle="stop" imeMode="noControl" operator="between" showDropDown="0" showErrorMessage="1" showInputMessage="1">
          <x14:formula1>
            <xm:f>$Z8:$Z22</xm:f>
          </x14:formula1>
          <xm:sqref>D14:E14 D45:E45 D76:E76</xm:sqref>
        </x14:dataValidation>
        <x14:dataValidation xr:uid="{006700BE-001F-445F-A9F7-002E005700D7}" type="list" allowBlank="1" errorStyle="stop" imeMode="noControl" operator="between" showDropDown="0" showErrorMessage="1" showInputMessage="1">
          <x14:formula1>
            <xm:f>$Z8:$Z22</xm:f>
          </x14:formula1>
          <xm:sqref>D13:E13 D44:E44 D75:E75</xm:sqref>
        </x14:dataValidation>
        <x14:dataValidation xr:uid="{003500A7-00BE-418D-90E6-00E2008400BA}" type="list" allowBlank="1" errorStyle="stop" imeMode="noControl" operator="between" showDropDown="0" showErrorMessage="1" showInputMessage="1">
          <x14:formula1>
            <xm:f>$Z8:$Z22</xm:f>
          </x14:formula1>
          <xm:sqref>D12:E12 D43:E43 D74:E74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view="pageBreakPreview" zoomScale="85" workbookViewId="0">
      <selection activeCell="D5" activeCellId="0" sqref="D5:H5"/>
    </sheetView>
  </sheetViews>
  <sheetFormatPr baseColWidth="10" defaultColWidth="11.42578125" defaultRowHeight="15"/>
  <cols>
    <col customWidth="1" min="1" max="1" style="8" width="11"/>
    <col customWidth="1" min="2" max="2" style="8" width="1.42578125"/>
    <col customWidth="1" min="3" max="3" style="8" width="5.7109375"/>
    <col customWidth="1" min="4" max="4" style="8" width="10.140625"/>
    <col customWidth="1" min="5" max="5" style="8" width="19.85546875"/>
    <col customWidth="1" min="6" max="6" style="8" width="5.7109375"/>
    <col customWidth="1" min="7" max="7" style="8" width="28.140625"/>
    <col customWidth="1" min="8" max="8" style="8" width="0.85546875"/>
    <col customWidth="1" min="9" max="20" style="8" width="7.85546875"/>
    <col customWidth="1" min="21" max="21" style="8" width="0.85546875"/>
    <col customWidth="1" min="22" max="23" style="8" width="7.85546875"/>
    <col min="24" max="24" style="8" width="11.42578125"/>
    <col customWidth="1" min="25" max="25" style="8" width="2.85546875"/>
    <col min="26" max="27" style="8" width="11.42578125"/>
    <col bestFit="1" customWidth="1" min="28" max="28" style="8" width="2.85546875"/>
    <col min="29" max="29" style="8" width="11.42578125"/>
    <col customWidth="1" min="30" max="30" style="8" width="111.42578125"/>
    <col min="31" max="16384" style="8" width="11.42578125"/>
  </cols>
  <sheetData>
    <row r="1" ht="21">
      <c r="A1" s="9" t="s">
        <v>120</v>
      </c>
      <c r="F1" s="10" t="str">
        <f>IF(V12&gt;V14,CONCATENATE("Achtung! Teamreihenfolge ",D5," nicht richtig! 1. und 2. Doppel tauschen."),IF(V14&gt;V16,CONCATENATE("Achtung! Teamreihenfolge ",D5," nicht richtig! 2. und 3. Doppel tauschen."),IF(AND(V18&gt;=V19,V19&gt;0),CONCATENATE("Achtung! Teamreihenfolge ",D5," nicht richtig! Beide Einzel tauschen."),IF(W12&gt;W14,CONCATENATE("Achtung! Teamreihenfolge ",D7," nicht richtig! 1. und 2. Doppel tauschen."),IF(W14&gt;W16,CONCATENATE("Achtung! Teamreihenfolge ",D7," nicht richtig! 2. und 3. Doppel tauschen."),IF(AND(W18&gt;=W19,W19&gt;0),CONCATENATE("Achtung! Teamreihenfolge ",D7," nicht richtig! Beide Einzel tauschen."),""))))))</f>
        <v/>
      </c>
      <c r="G1" s="10"/>
      <c r="H1" s="10"/>
      <c r="I1" s="10"/>
      <c r="J1" s="10"/>
      <c r="K1" s="10"/>
      <c r="L1" s="10"/>
      <c r="M1" s="10"/>
      <c r="N1" s="10"/>
    </row>
    <row r="2" s="11" customFormat="1" ht="26.25">
      <c r="A2" s="12" t="s">
        <v>121</v>
      </c>
      <c r="B2" s="12"/>
      <c r="C2" s="12"/>
      <c r="D2" s="12"/>
      <c r="E2" s="12"/>
      <c r="F2" s="10"/>
      <c r="G2" s="10"/>
      <c r="H2" s="10"/>
      <c r="I2" s="10"/>
      <c r="J2" s="10"/>
      <c r="K2" s="10"/>
      <c r="L2" s="10"/>
      <c r="M2" s="10"/>
      <c r="N2" s="10"/>
    </row>
    <row r="3" s="11" customFormat="1" ht="26.25">
      <c r="A3" s="13" t="s">
        <v>122</v>
      </c>
      <c r="B3" s="12"/>
      <c r="C3" s="12"/>
      <c r="D3" s="12"/>
      <c r="E3" s="12"/>
      <c r="F3" s="10"/>
      <c r="G3" s="10"/>
      <c r="H3" s="10"/>
      <c r="I3" s="10"/>
      <c r="J3" s="10"/>
      <c r="K3" s="10"/>
      <c r="L3" s="10"/>
      <c r="M3" s="10"/>
      <c r="N3" s="10"/>
    </row>
    <row r="4" s="14" customFormat="1" ht="15" customHeight="1">
      <c r="A4" s="15"/>
      <c r="M4" s="16"/>
      <c r="V4" s="14"/>
      <c r="W4" s="14"/>
      <c r="AD4" s="17"/>
    </row>
    <row r="5" s="11" customFormat="1" ht="21" customHeight="1">
      <c r="A5" s="18" t="s">
        <v>123</v>
      </c>
      <c r="B5" s="18"/>
      <c r="C5" s="18"/>
      <c r="D5" s="19"/>
      <c r="E5" s="19"/>
      <c r="F5" s="19"/>
      <c r="G5" s="19"/>
      <c r="H5" s="19"/>
      <c r="K5" s="20"/>
      <c r="L5" s="21" t="s">
        <v>124</v>
      </c>
      <c r="M5" s="22" t="str">
        <f>Gruppe</f>
        <v>II</v>
      </c>
      <c r="N5" s="20"/>
      <c r="O5" s="20"/>
      <c r="P5" s="20"/>
      <c r="Q5" s="20"/>
      <c r="R5" s="20"/>
      <c r="S5" s="20"/>
      <c r="T5" s="20"/>
      <c r="V5" s="11"/>
      <c r="W5" s="23"/>
      <c r="AD5" s="17"/>
    </row>
    <row r="6" s="14" customFormat="1" ht="21" customHeight="1">
      <c r="C6" s="24" t="s">
        <v>125</v>
      </c>
      <c r="L6" s="24" t="s">
        <v>126</v>
      </c>
      <c r="M6" s="16"/>
      <c r="N6" s="16"/>
      <c r="O6" s="16"/>
      <c r="P6" s="16"/>
      <c r="Q6" s="16"/>
      <c r="V6" s="23"/>
      <c r="W6" s="23"/>
      <c r="AD6" s="17"/>
    </row>
    <row r="7" s="11" customFormat="1" ht="21" customHeight="1">
      <c r="A7" s="18" t="s">
        <v>127</v>
      </c>
      <c r="B7" s="18"/>
      <c r="C7" s="18"/>
      <c r="D7" s="19"/>
      <c r="E7" s="19"/>
      <c r="F7" s="19"/>
      <c r="G7" s="19"/>
      <c r="H7" s="19"/>
      <c r="J7" s="18" t="s">
        <v>128</v>
      </c>
      <c r="K7" s="18"/>
      <c r="L7" s="18"/>
      <c r="M7" s="22" t="str">
        <f>Austragungsort</f>
        <v xml:space="preserve">Sporthalle Berlin</v>
      </c>
      <c r="N7" s="25"/>
      <c r="O7" s="25"/>
      <c r="P7" s="25"/>
      <c r="Q7" s="25"/>
      <c r="R7" s="20"/>
      <c r="S7" s="20"/>
      <c r="T7" s="20"/>
      <c r="V7" s="23"/>
      <c r="W7" s="23"/>
      <c r="Y7" s="26" t="s">
        <v>129</v>
      </c>
      <c r="Z7" s="27"/>
      <c r="AA7" s="28" t="s">
        <v>130</v>
      </c>
      <c r="AB7" s="27"/>
      <c r="AD7" s="29" t="s">
        <v>131</v>
      </c>
      <c r="AE7" s="17"/>
      <c r="AF7" s="17"/>
      <c r="AG7" s="17"/>
      <c r="AH7" s="17"/>
      <c r="AI7" s="17"/>
      <c r="AJ7" s="17"/>
      <c r="AK7" s="17"/>
      <c r="AL7" s="17"/>
      <c r="AM7" s="17"/>
    </row>
    <row r="8" s="11" customFormat="1" ht="21">
      <c r="A8" s="15"/>
      <c r="C8" s="24" t="s">
        <v>132</v>
      </c>
      <c r="L8" s="24" t="s">
        <v>133</v>
      </c>
      <c r="V8" s="23"/>
      <c r="W8" s="23"/>
      <c r="Y8" s="30">
        <v>1</v>
      </c>
      <c r="Z8" s="31" t="e">
        <f>VLOOKUP(CONCATENATE($D5," ",Y8),Setzlisten!$A:$E,5,0)</f>
        <v>#N/A</v>
      </c>
      <c r="AA8" s="30" t="e">
        <f>VLOOKUP(CONCATENATE($D7," ",Y8),Setzlisten!$A:$E,5,0)</f>
        <v>#N/A</v>
      </c>
      <c r="AB8" s="31">
        <v>1</v>
      </c>
      <c r="AD8" s="32" t="str">
        <f>CONCATENATE(A12,": ",D12," mit ",D13," - ",G12," mit ",G13,", ",I12,":",J12,", ",K12,":",L12,IF(M12="","",CONCATENATE(", ",M12,":",N12)),CHAR(10),A14,": ",D14," mit ",D15," - ",G14," mit ",G15,", ",I14,":",J14,", ",K14,":",L14,IF(M14="","",CONCATENATE(", ",M14,":",N14)),CHAR(10),A16,": ",D16," mit ",D17," - ",G16," mit ",G17,", ",I16,":",J16,", ",K16,":",L16,IF(M16="","",CONCATENATE(", ",M16,":",N16)),CHAR(10),A18,": ",D18," - ",G18,", ",I18,":",J18,", ",K18,":",L18,IF(M18="","",CONCATENATE(", ",M18,":",N18)),CHAR(10),A19,": ",D19," - ",G19,", ",I19,":",J19,", ",K19,":",L19,IF(M19="","",CONCATENATE(", ",M19,":",N19)))</f>
        <v xml:space="preserve">1. Doppel
1st Doubles:  mit  -  mit , :, :
2. Doppel
2nd Doubles:  mit  -  mit , :, :
3. Doppel
3rd Doubles:  mit  -  mit , :, :
1. Einzel
1st Singles:  - , :, :
2. Einzel
2nd Singles:  - , :, :</v>
      </c>
      <c r="AE8" s="17"/>
      <c r="AF8" s="17"/>
      <c r="AG8" s="17"/>
      <c r="AH8" s="17"/>
      <c r="AI8" s="17"/>
      <c r="AJ8" s="17"/>
      <c r="AK8" s="17"/>
      <c r="AL8" s="17"/>
      <c r="AM8" s="17"/>
    </row>
    <row r="9" s="11" customFormat="1" ht="26.25" customHeight="1">
      <c r="A9" s="33" t="s">
        <v>134</v>
      </c>
      <c r="B9" s="34"/>
      <c r="C9" s="35" t="s">
        <v>135</v>
      </c>
      <c r="D9" s="36" t="s">
        <v>136</v>
      </c>
      <c r="E9" s="37"/>
      <c r="F9" s="38" t="s">
        <v>135</v>
      </c>
      <c r="G9" s="39" t="s">
        <v>137</v>
      </c>
      <c r="H9" s="40"/>
      <c r="I9" s="41" t="s">
        <v>138</v>
      </c>
      <c r="J9" s="42"/>
      <c r="K9" s="41" t="s">
        <v>139</v>
      </c>
      <c r="L9" s="42"/>
      <c r="M9" s="43" t="s">
        <v>140</v>
      </c>
      <c r="N9" s="44"/>
      <c r="O9" s="45" t="s">
        <v>141</v>
      </c>
      <c r="P9" s="46"/>
      <c r="Q9" s="47" t="s">
        <v>142</v>
      </c>
      <c r="R9" s="48"/>
      <c r="S9" s="49" t="s">
        <v>143</v>
      </c>
      <c r="T9" s="50"/>
      <c r="V9" s="51" t="s">
        <v>144</v>
      </c>
      <c r="W9" s="52" t="s">
        <v>145</v>
      </c>
      <c r="Y9" s="30">
        <v>2</v>
      </c>
      <c r="Z9" s="31" t="e">
        <f>VLOOKUP(CONCATENATE($D5," ",Y9),Setzlisten!$A:$E,5,0)</f>
        <v>#N/A</v>
      </c>
      <c r="AA9" s="30" t="e">
        <f>VLOOKUP(CONCATENATE($D7," ",Y9),Setzlisten!$A:$E,5,0)</f>
        <v>#N/A</v>
      </c>
      <c r="AB9" s="31">
        <v>2</v>
      </c>
      <c r="AD9" s="32"/>
      <c r="AE9" s="17"/>
      <c r="AF9" s="17"/>
      <c r="AG9" s="17"/>
      <c r="AH9" s="17"/>
      <c r="AI9" s="17"/>
      <c r="AJ9" s="17"/>
      <c r="AK9" s="17"/>
      <c r="AL9" s="17"/>
      <c r="AM9" s="17"/>
    </row>
    <row r="10" s="11" customFormat="1" ht="29.25" customHeight="1">
      <c r="A10" s="53">
        <f>Allgemeines!G4</f>
        <v>0.52083333333333337</v>
      </c>
      <c r="B10" s="34"/>
      <c r="C10" s="54"/>
      <c r="D10" s="55"/>
      <c r="E10" s="56"/>
      <c r="F10" s="57"/>
      <c r="G10" s="58"/>
      <c r="H10" s="40"/>
      <c r="I10" s="59"/>
      <c r="J10" s="60"/>
      <c r="K10" s="59"/>
      <c r="L10" s="60"/>
      <c r="M10" s="61"/>
      <c r="N10" s="62"/>
      <c r="O10" s="63" t="s">
        <v>146</v>
      </c>
      <c r="P10" s="64" t="s">
        <v>147</v>
      </c>
      <c r="Q10" s="65" t="s">
        <v>146</v>
      </c>
      <c r="R10" s="66" t="s">
        <v>147</v>
      </c>
      <c r="S10" s="64" t="s">
        <v>146</v>
      </c>
      <c r="T10" s="67" t="s">
        <v>147</v>
      </c>
      <c r="V10" s="68"/>
      <c r="W10" s="69"/>
      <c r="Y10" s="30">
        <v>3</v>
      </c>
      <c r="Z10" s="31" t="e">
        <f>VLOOKUP(CONCATENATE($D5," ",Y10),Setzlisten!$A:$E,5,0)</f>
        <v>#N/A</v>
      </c>
      <c r="AA10" s="30" t="e">
        <f>VLOOKUP(CONCATENATE($D7," ",Y10),Setzlisten!$A:$E,5,0)</f>
        <v>#N/A</v>
      </c>
      <c r="AB10" s="31">
        <v>3</v>
      </c>
      <c r="AD10" s="32"/>
      <c r="AE10" s="17"/>
      <c r="AF10" s="17"/>
      <c r="AG10" s="17"/>
      <c r="AH10" s="17"/>
      <c r="AI10" s="17"/>
      <c r="AJ10" s="17"/>
      <c r="AK10" s="17"/>
      <c r="AL10" s="17"/>
      <c r="AM10" s="17"/>
    </row>
    <row r="11" s="70" customFormat="1" ht="9">
      <c r="V11" s="30"/>
      <c r="W11" s="31"/>
      <c r="Y11" s="30">
        <v>4</v>
      </c>
      <c r="Z11" s="31" t="e">
        <f>VLOOKUP(CONCATENATE($D5," ",Y11),Setzlisten!$A:$E,5,0)</f>
        <v>#N/A</v>
      </c>
      <c r="AA11" s="30" t="e">
        <f>VLOOKUP(CONCATENATE($D7," ",Y11),Setzlisten!$A:$E,5,0)</f>
        <v>#N/A</v>
      </c>
      <c r="AB11" s="31">
        <v>4</v>
      </c>
      <c r="AD11" s="32"/>
    </row>
    <row r="12" s="11" customFormat="1" ht="24" customHeight="1">
      <c r="A12" s="71" t="s">
        <v>148</v>
      </c>
      <c r="C12" s="72">
        <f>IF(D12="",0,VLOOKUP(D12,$Z8:$AB22,3,0))</f>
        <v>0</v>
      </c>
      <c r="D12" s="73"/>
      <c r="E12" s="74"/>
      <c r="F12" s="75">
        <f>IF(G12="",0,VLOOKUP(G12,$AA8:$AB22,2,0))</f>
        <v>0</v>
      </c>
      <c r="G12" s="76"/>
      <c r="I12" s="77"/>
      <c r="J12" s="78"/>
      <c r="K12" s="77"/>
      <c r="L12" s="78"/>
      <c r="M12" s="77"/>
      <c r="N12" s="79"/>
      <c r="O12" s="80" t="str">
        <f>IF(I12="","",SUM(I12,K12,M12))</f>
        <v/>
      </c>
      <c r="P12" s="81" t="str">
        <f>IF(J12="","",SUM(J12,L12,N12))</f>
        <v/>
      </c>
      <c r="Q12" s="82" t="str">
        <f>IF(I12="","",IF(I12&gt;J12,1,0)+IF(K12&gt;L12,1,0)+IF(M12="",0,IF(M12&gt;N12,1,0)))</f>
        <v/>
      </c>
      <c r="R12" s="83" t="str">
        <f>IF(I12="","",IF(J12&gt;I12,1,0)+IF(L12&gt;K12,1,0)+IF(M12="",0,IF(N12&gt;M12,1,0)))</f>
        <v/>
      </c>
      <c r="S12" s="84" t="str">
        <f>IF(I12="","",IF(Q12&gt;R12,1,0))</f>
        <v/>
      </c>
      <c r="T12" s="85" t="str">
        <f>IF(I12="","",IF(R12&gt;Q12,1,0))</f>
        <v/>
      </c>
      <c r="V12" s="86">
        <f>C12+C13</f>
        <v>0</v>
      </c>
      <c r="W12" s="87">
        <f>F12+F13</f>
        <v>0</v>
      </c>
      <c r="Y12" s="30">
        <v>5</v>
      </c>
      <c r="Z12" s="31" t="e">
        <f>VLOOKUP(CONCATENATE($D5," ",Y12),Setzlisten!$A:$E,5,0)</f>
        <v>#N/A</v>
      </c>
      <c r="AA12" s="30" t="e">
        <f>VLOOKUP(CONCATENATE($D7," ",Y12),Setzlisten!$A:$E,5,0)</f>
        <v>#N/A</v>
      </c>
      <c r="AB12" s="31">
        <v>5</v>
      </c>
      <c r="AD12" s="32"/>
    </row>
    <row r="13" s="11" customFormat="1" ht="24" customHeight="1">
      <c r="A13" s="88"/>
      <c r="C13" s="89">
        <f>IF(D13="",0,VLOOKUP(D13,$Z8:$AB22,3,0))</f>
        <v>0</v>
      </c>
      <c r="D13" s="90"/>
      <c r="E13" s="91"/>
      <c r="F13" s="92">
        <f>IF(G13="",0,VLOOKUP(G13,$AA8:$AB22,2,0))</f>
        <v>0</v>
      </c>
      <c r="G13" s="93"/>
      <c r="I13" s="77"/>
      <c r="J13" s="78"/>
      <c r="K13" s="77"/>
      <c r="L13" s="78"/>
      <c r="M13" s="77"/>
      <c r="N13" s="79"/>
      <c r="O13" s="92"/>
      <c r="P13" s="94"/>
      <c r="Q13" s="89"/>
      <c r="R13" s="95"/>
      <c r="S13" s="96"/>
      <c r="T13" s="97"/>
      <c r="V13" s="98"/>
      <c r="W13" s="99"/>
      <c r="Y13" s="30">
        <v>6</v>
      </c>
      <c r="Z13" s="31" t="e">
        <f>VLOOKUP(CONCATENATE($D5," ",Y13),Setzlisten!$A:$E,5,0)</f>
        <v>#N/A</v>
      </c>
      <c r="AA13" s="30" t="e">
        <f>VLOOKUP(CONCATENATE($D7," ",Y13),Setzlisten!$A:$E,5,0)</f>
        <v>#N/A</v>
      </c>
      <c r="AB13" s="31">
        <v>6</v>
      </c>
      <c r="AD13" s="32"/>
    </row>
    <row r="14" s="11" customFormat="1" ht="24" customHeight="1">
      <c r="A14" s="71" t="s">
        <v>149</v>
      </c>
      <c r="C14" s="72">
        <f>IF(D14="",0,VLOOKUP(D14,$Z8:$AB22,3,0))</f>
        <v>0</v>
      </c>
      <c r="D14" s="73"/>
      <c r="E14" s="74"/>
      <c r="F14" s="75">
        <f>IF(G14="",0,VLOOKUP(G14,$AA8:$AB22,2,0))</f>
        <v>0</v>
      </c>
      <c r="G14" s="76"/>
      <c r="I14" s="77"/>
      <c r="J14" s="100"/>
      <c r="K14" s="77"/>
      <c r="L14" s="78"/>
      <c r="M14" s="77"/>
      <c r="N14" s="79"/>
      <c r="O14" s="80" t="str">
        <f>IF(I14="","",SUM(I14,K14,M14))</f>
        <v/>
      </c>
      <c r="P14" s="81" t="str">
        <f t="shared" ref="P14:P19" si="65">IF(J14="","",SUM(J14,L14,N14))</f>
        <v/>
      </c>
      <c r="Q14" s="82" t="str">
        <f t="shared" ref="Q14:Q19" si="66">IF(I14="","",IF(I14&gt;J14,1,0)+IF(K14&gt;L14,1,0)+IF(M14="",0,IF(M14&gt;N14,1,0)))</f>
        <v/>
      </c>
      <c r="R14" s="83" t="str">
        <f t="shared" ref="R14:R19" si="67">IF(I14="","",IF(J14&gt;I14,1,0)+IF(L14&gt;K14,1,0)+IF(M14="",0,IF(N14&gt;M14,1,0)))</f>
        <v/>
      </c>
      <c r="S14" s="84" t="str">
        <f t="shared" ref="S14:S19" si="68">IF(I14="","",IF(Q14&gt;R14,1,0))</f>
        <v/>
      </c>
      <c r="T14" s="85" t="str">
        <f t="shared" ref="T14:T19" si="69">IF(I14="","",IF(R14&gt;Q14,1,0))</f>
        <v/>
      </c>
      <c r="V14" s="98">
        <f>C14+C15</f>
        <v>0</v>
      </c>
      <c r="W14" s="99">
        <f>F14+F15</f>
        <v>0</v>
      </c>
      <c r="Y14" s="30">
        <v>7</v>
      </c>
      <c r="Z14" s="31" t="e">
        <f>VLOOKUP(CONCATENATE($D5," ",Y14),Setzlisten!$A:$E,5,0)</f>
        <v>#N/A</v>
      </c>
      <c r="AA14" s="30" t="e">
        <f>VLOOKUP(CONCATENATE($D7," ",Y14),Setzlisten!$A:$E,5,0)</f>
        <v>#N/A</v>
      </c>
      <c r="AB14" s="31">
        <v>7</v>
      </c>
      <c r="AD14" s="101" t="s">
        <v>150</v>
      </c>
    </row>
    <row r="15" s="11" customFormat="1" ht="24" customHeight="1">
      <c r="A15" s="88"/>
      <c r="C15" s="89">
        <f>IF(D15="",0,VLOOKUP(D15,$Z8:$AB22,3,0))</f>
        <v>0</v>
      </c>
      <c r="D15" s="90"/>
      <c r="E15" s="91"/>
      <c r="F15" s="92">
        <f>IF(G15="",0,VLOOKUP(G15,$AA8:$AB22,2,0))</f>
        <v>0</v>
      </c>
      <c r="G15" s="93"/>
      <c r="I15" s="77"/>
      <c r="J15" s="78"/>
      <c r="K15" s="77"/>
      <c r="L15" s="78"/>
      <c r="M15" s="77"/>
      <c r="N15" s="79"/>
      <c r="O15" s="92"/>
      <c r="P15" s="94"/>
      <c r="Q15" s="89"/>
      <c r="R15" s="95"/>
      <c r="S15" s="96"/>
      <c r="T15" s="97"/>
      <c r="V15" s="98"/>
      <c r="W15" s="99"/>
      <c r="Y15" s="30">
        <v>8</v>
      </c>
      <c r="Z15" s="31" t="e">
        <f>VLOOKUP(CONCATENATE($D5," ",Y15),Setzlisten!$A:$E,5,0)</f>
        <v>#N/A</v>
      </c>
      <c r="AA15" s="30" t="e">
        <f>VLOOKUP(CONCATENATE($D7," ",Y15),Setzlisten!$A:$E,5,0)</f>
        <v>#N/A</v>
      </c>
      <c r="AB15" s="31">
        <v>8</v>
      </c>
      <c r="AD15" s="101"/>
    </row>
    <row r="16" s="11" customFormat="1" ht="24" customHeight="1">
      <c r="A16" s="71" t="s">
        <v>151</v>
      </c>
      <c r="C16" s="72">
        <f>IF(D16="",0,VLOOKUP(D16,$Z8:$AB22,3,0))</f>
        <v>0</v>
      </c>
      <c r="D16" s="73"/>
      <c r="E16" s="74"/>
      <c r="F16" s="75">
        <f>IF(G16="",0,VLOOKUP(G16,$AA8:$AB22,2,0))</f>
        <v>0</v>
      </c>
      <c r="G16" s="76"/>
      <c r="I16" s="77"/>
      <c r="J16" s="78"/>
      <c r="K16" s="77"/>
      <c r="L16" s="78"/>
      <c r="M16" s="77"/>
      <c r="N16" s="79"/>
      <c r="O16" s="80" t="str">
        <f>IF(I16="","",SUM(I16,K16,M16))</f>
        <v/>
      </c>
      <c r="P16" s="81" t="str">
        <f t="shared" si="65"/>
        <v/>
      </c>
      <c r="Q16" s="82" t="str">
        <f t="shared" si="66"/>
        <v/>
      </c>
      <c r="R16" s="83" t="str">
        <f t="shared" si="67"/>
        <v/>
      </c>
      <c r="S16" s="84" t="str">
        <f t="shared" si="68"/>
        <v/>
      </c>
      <c r="T16" s="85" t="str">
        <f t="shared" si="69"/>
        <v/>
      </c>
      <c r="V16" s="98">
        <f>C16+C17</f>
        <v>0</v>
      </c>
      <c r="W16" s="99">
        <f>F16+F17</f>
        <v>0</v>
      </c>
      <c r="Y16" s="30">
        <v>9</v>
      </c>
      <c r="Z16" s="31" t="e">
        <f>VLOOKUP(CONCATENATE($D5," ",Y16),Setzlisten!$A:$E,5,0)</f>
        <v>#N/A</v>
      </c>
      <c r="AA16" s="30" t="e">
        <f>VLOOKUP(CONCATENATE($D7," ",Y16),Setzlisten!$A:$E,5,0)</f>
        <v>#N/A</v>
      </c>
      <c r="AB16" s="31">
        <v>9</v>
      </c>
      <c r="AD16" s="32"/>
    </row>
    <row r="17" s="11" customFormat="1" ht="24" customHeight="1">
      <c r="A17" s="88"/>
      <c r="C17" s="89">
        <f>IF(D17="",0,VLOOKUP(D17,$Z8:$AB22,3,0))</f>
        <v>0</v>
      </c>
      <c r="D17" s="90"/>
      <c r="E17" s="91"/>
      <c r="F17" s="92">
        <f>IF(G17="",0,VLOOKUP(G17,$AA8:$AB22,2,0))</f>
        <v>0</v>
      </c>
      <c r="G17" s="93"/>
      <c r="I17" s="77"/>
      <c r="J17" s="78"/>
      <c r="K17" s="77"/>
      <c r="L17" s="78"/>
      <c r="M17" s="77"/>
      <c r="N17" s="79"/>
      <c r="O17" s="92"/>
      <c r="P17" s="94"/>
      <c r="Q17" s="89"/>
      <c r="R17" s="95"/>
      <c r="S17" s="96"/>
      <c r="T17" s="97"/>
      <c r="V17" s="102"/>
      <c r="W17" s="103"/>
      <c r="Y17" s="30">
        <v>10</v>
      </c>
      <c r="Z17" s="31" t="e">
        <f>VLOOKUP(CONCATENATE($D5," ",Y17),Setzlisten!$A:$E,5,0)</f>
        <v>#N/A</v>
      </c>
      <c r="AA17" s="30" t="e">
        <f>VLOOKUP(CONCATENATE($D7," ",Y17),Setzlisten!$A:$E,5,0)</f>
        <v>#N/A</v>
      </c>
      <c r="AB17" s="31">
        <v>10</v>
      </c>
      <c r="AD17" s="32"/>
    </row>
    <row r="18" s="11" customFormat="1" ht="30" customHeight="1">
      <c r="A18" s="71" t="s">
        <v>152</v>
      </c>
      <c r="B18" s="104"/>
      <c r="C18" s="105">
        <f>IF(D18="",0,VLOOKUP(D18,$Z8:$AB22,3,0))</f>
        <v>0</v>
      </c>
      <c r="D18" s="106"/>
      <c r="E18" s="107"/>
      <c r="F18" s="108">
        <f>IF(G18="",0,VLOOKUP(G18,$AA8:$AB22,2,0))</f>
        <v>0</v>
      </c>
      <c r="G18" s="109"/>
      <c r="I18" s="77"/>
      <c r="J18" s="78"/>
      <c r="K18" s="77"/>
      <c r="L18" s="78"/>
      <c r="M18" s="77"/>
      <c r="N18" s="79"/>
      <c r="O18" s="108" t="str">
        <f t="shared" ref="O18:O19" si="70">IF(I18="","",SUM(I18,K18,M18))</f>
        <v/>
      </c>
      <c r="P18" s="110" t="str">
        <f t="shared" si="65"/>
        <v/>
      </c>
      <c r="Q18" s="105" t="str">
        <f t="shared" si="66"/>
        <v/>
      </c>
      <c r="R18" s="111" t="str">
        <f t="shared" si="67"/>
        <v/>
      </c>
      <c r="S18" s="112" t="str">
        <f t="shared" si="68"/>
        <v/>
      </c>
      <c r="T18" s="113" t="str">
        <f t="shared" si="69"/>
        <v/>
      </c>
      <c r="V18" s="98">
        <f t="shared" ref="V18:V19" si="71">C18</f>
        <v>0</v>
      </c>
      <c r="W18" s="99">
        <f t="shared" ref="W18:W19" si="72">F18</f>
        <v>0</v>
      </c>
      <c r="Y18" s="30">
        <v>11</v>
      </c>
      <c r="Z18" s="31" t="e">
        <f>VLOOKUP(CONCATENATE($D5," ",Y18),Setzlisten!$A:$E,5,0)</f>
        <v>#N/A</v>
      </c>
      <c r="AA18" s="30" t="e">
        <f>VLOOKUP(CONCATENATE($D7," ",Y18),Setzlisten!$A:$E,5,0)</f>
        <v>#N/A</v>
      </c>
      <c r="AB18" s="31">
        <v>11</v>
      </c>
      <c r="AD18" s="32"/>
    </row>
    <row r="19" s="11" customFormat="1" ht="30" customHeight="1">
      <c r="A19" s="71" t="s">
        <v>153</v>
      </c>
      <c r="B19" s="104"/>
      <c r="C19" s="105">
        <f>IF(D19="",0,VLOOKUP(D19,$Z8:$AB22,3,0))</f>
        <v>0</v>
      </c>
      <c r="D19" s="106"/>
      <c r="E19" s="107"/>
      <c r="F19" s="108">
        <f>IF(G19="",0,VLOOKUP(G19,$AA8:$AB22,2,0))</f>
        <v>0</v>
      </c>
      <c r="G19" s="109"/>
      <c r="I19" s="77"/>
      <c r="J19" s="78"/>
      <c r="K19" s="77"/>
      <c r="L19" s="78"/>
      <c r="M19" s="77"/>
      <c r="N19" s="79"/>
      <c r="O19" s="108" t="str">
        <f t="shared" si="70"/>
        <v/>
      </c>
      <c r="P19" s="110" t="str">
        <f t="shared" si="65"/>
        <v/>
      </c>
      <c r="Q19" s="105" t="str">
        <f t="shared" si="66"/>
        <v/>
      </c>
      <c r="R19" s="111" t="str">
        <f t="shared" si="67"/>
        <v/>
      </c>
      <c r="S19" s="112" t="str">
        <f t="shared" si="68"/>
        <v/>
      </c>
      <c r="T19" s="113" t="str">
        <f t="shared" si="69"/>
        <v/>
      </c>
      <c r="V19" s="102">
        <f t="shared" si="71"/>
        <v>0</v>
      </c>
      <c r="W19" s="103">
        <f t="shared" si="72"/>
        <v>0</v>
      </c>
      <c r="Y19" s="30">
        <v>12</v>
      </c>
      <c r="Z19" s="31" t="e">
        <f>VLOOKUP(CONCATENATE($D5," ",Y19),Setzlisten!$A:$E,5,0)</f>
        <v>#N/A</v>
      </c>
      <c r="AA19" s="30" t="e">
        <f>VLOOKUP(CONCATENATE($D7," ",Y19),Setzlisten!$A:$E,5,0)</f>
        <v>#N/A</v>
      </c>
      <c r="AB19" s="31">
        <v>12</v>
      </c>
      <c r="AD19" s="32"/>
    </row>
    <row r="20" s="70" customFormat="1" ht="9">
      <c r="Y20" s="30">
        <v>13</v>
      </c>
      <c r="Z20" s="31" t="e">
        <f>VLOOKUP(CONCATENATE($D5," ",Y20),Setzlisten!$A:$E,5,0)</f>
        <v>#N/A</v>
      </c>
      <c r="AA20" s="30" t="e">
        <f>VLOOKUP(CONCATENATE($D7," ",Y20),Setzlisten!$A:$E,5,0)</f>
        <v>#N/A</v>
      </c>
      <c r="AB20" s="31">
        <v>13</v>
      </c>
      <c r="AD20" s="32"/>
    </row>
    <row r="21" s="11" customFormat="1" ht="15.75">
      <c r="A21" s="114" t="s">
        <v>154</v>
      </c>
      <c r="B21" s="34"/>
      <c r="C21" s="115" t="s">
        <v>155</v>
      </c>
      <c r="D21" s="116"/>
      <c r="E21" s="117" t="str">
        <f>IF(S21="","",IF(S21&gt;T21,D5,D7))</f>
        <v/>
      </c>
      <c r="F21" s="118"/>
      <c r="G21" s="119"/>
      <c r="I21" s="115" t="s">
        <v>156</v>
      </c>
      <c r="J21" s="120"/>
      <c r="K21" s="120"/>
      <c r="L21" s="120"/>
      <c r="M21" s="120"/>
      <c r="N21" s="116"/>
      <c r="O21" s="82" t="str">
        <f t="shared" ref="O21:T21" si="73">IF(O12="","",SUM(O12:O19))</f>
        <v/>
      </c>
      <c r="P21" s="121" t="str">
        <f t="shared" si="73"/>
        <v/>
      </c>
      <c r="Q21" s="82" t="str">
        <f t="shared" si="73"/>
        <v/>
      </c>
      <c r="R21" s="121" t="str">
        <f t="shared" si="73"/>
        <v/>
      </c>
      <c r="S21" s="82" t="str">
        <f t="shared" si="73"/>
        <v/>
      </c>
      <c r="T21" s="122" t="str">
        <f t="shared" si="73"/>
        <v/>
      </c>
      <c r="Y21" s="30">
        <v>14</v>
      </c>
      <c r="Z21" s="31" t="e">
        <f>VLOOKUP(CONCATENATE($D5," ",Y21),Setzlisten!$A:$E,5,0)</f>
        <v>#N/A</v>
      </c>
      <c r="AA21" s="30" t="e">
        <f>VLOOKUP(CONCATENATE($D7," ",Y21),Setzlisten!$A:$E,5,0)</f>
        <v>#N/A</v>
      </c>
      <c r="AB21" s="31">
        <v>14</v>
      </c>
      <c r="AD21" s="32"/>
    </row>
    <row r="22" s="11" customFormat="1" ht="23.25">
      <c r="A22" s="53">
        <f>Allgemeines!H4</f>
        <v>0.58333333333333337</v>
      </c>
      <c r="B22" s="34"/>
      <c r="C22" s="123"/>
      <c r="D22" s="124"/>
      <c r="E22" s="125"/>
      <c r="F22" s="126"/>
      <c r="G22" s="127"/>
      <c r="I22" s="123"/>
      <c r="J22" s="128"/>
      <c r="K22" s="128"/>
      <c r="L22" s="128"/>
      <c r="M22" s="128"/>
      <c r="N22" s="124"/>
      <c r="O22" s="129"/>
      <c r="P22" s="130"/>
      <c r="Q22" s="129"/>
      <c r="R22" s="130"/>
      <c r="S22" s="129"/>
      <c r="T22" s="131"/>
      <c r="Y22" s="132">
        <v>15</v>
      </c>
      <c r="Z22" s="133" t="e">
        <f>VLOOKUP(CONCATENATE($D5," ",Y22),Setzlisten!$A:$E,5,0)</f>
        <v>#N/A</v>
      </c>
      <c r="AA22" s="132" t="e">
        <f>VLOOKUP(CONCATENATE($D7," ",Y22),Setzlisten!$A:$E,5,0)</f>
        <v>#N/A</v>
      </c>
      <c r="AB22" s="133">
        <v>15</v>
      </c>
    </row>
    <row r="23" s="11" customFormat="1" ht="15" customHeight="1">
      <c r="A23" s="15"/>
    </row>
    <row r="24" s="11" customFormat="1" ht="30" customHeight="1">
      <c r="B24" s="21"/>
      <c r="C24" s="21"/>
      <c r="D24" s="134" t="s">
        <v>157</v>
      </c>
      <c r="E24" s="134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</row>
    <row r="25" s="11" customFormat="1">
      <c r="A25" s="14"/>
      <c r="P25" s="136"/>
      <c r="Q25" s="136"/>
      <c r="R25" s="136"/>
      <c r="S25" s="136"/>
      <c r="T25" s="136"/>
    </row>
    <row r="26" s="11" customFormat="1" ht="30" customHeight="1">
      <c r="A26" s="137" t="s">
        <v>158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</row>
    <row r="27" s="11" customFormat="1" ht="36" customHeight="1">
      <c r="A27" s="139" t="str">
        <f>Allgemeines!$B$3</f>
        <v>Hamburg</v>
      </c>
      <c r="B27" s="139"/>
      <c r="C27" s="139"/>
      <c r="D27" s="139"/>
      <c r="E27" s="140">
        <f>Allgemeines!$B$4</f>
        <v>46023</v>
      </c>
      <c r="G27" s="141"/>
      <c r="J27" s="141"/>
      <c r="K27" s="141"/>
      <c r="L27" s="141"/>
      <c r="M27" s="141"/>
      <c r="N27" s="141"/>
      <c r="P27" s="141"/>
      <c r="Q27" s="141"/>
      <c r="R27" s="141"/>
      <c r="S27" s="141"/>
      <c r="T27" s="141"/>
    </row>
    <row r="28" s="11" customFormat="1">
      <c r="A28" s="142"/>
      <c r="B28" s="142"/>
      <c r="C28" s="142"/>
      <c r="D28" s="142"/>
      <c r="E28" s="143"/>
      <c r="G28" s="144"/>
      <c r="J28" s="144"/>
      <c r="K28" s="144"/>
      <c r="L28" s="144"/>
      <c r="M28" s="144"/>
      <c r="N28" s="144"/>
      <c r="P28" s="144"/>
      <c r="Q28" s="144"/>
      <c r="R28" s="144"/>
      <c r="S28" s="144"/>
      <c r="T28" s="144"/>
    </row>
    <row r="29" s="11" customFormat="1" ht="15.75">
      <c r="A29" s="145" t="s">
        <v>159</v>
      </c>
      <c r="B29" s="145"/>
      <c r="C29" s="145"/>
      <c r="D29" s="145"/>
      <c r="E29" s="145" t="s">
        <v>160</v>
      </c>
      <c r="F29" s="40"/>
      <c r="G29" s="145" t="s">
        <v>2</v>
      </c>
      <c r="H29" s="40"/>
      <c r="I29" s="40"/>
      <c r="J29" s="146" t="s">
        <v>161</v>
      </c>
      <c r="K29" s="146"/>
      <c r="L29" s="146"/>
      <c r="M29" s="146"/>
      <c r="N29" s="146"/>
      <c r="O29" s="40"/>
      <c r="P29" s="146" t="s">
        <v>162</v>
      </c>
      <c r="Q29" s="146"/>
      <c r="R29" s="146"/>
      <c r="S29" s="146"/>
      <c r="T29" s="146"/>
    </row>
    <row r="30">
      <c r="G30" s="147" t="s">
        <v>163</v>
      </c>
      <c r="J30" s="147" t="s">
        <v>164</v>
      </c>
      <c r="K30" s="147"/>
      <c r="L30" s="147"/>
      <c r="M30" s="147"/>
      <c r="N30" s="147"/>
      <c r="P30" s="147" t="s">
        <v>165</v>
      </c>
      <c r="Q30" s="147"/>
      <c r="R30" s="147"/>
      <c r="S30" s="147"/>
      <c r="T30" s="147"/>
    </row>
    <row r="31">
      <c r="G31" s="141" t="str">
        <f>Allgemeines!$D$2</f>
        <v xml:space="preserve">George Washington</v>
      </c>
      <c r="J31" s="141" t="str">
        <f>IF(D5="","",VLOOKUP(D5,Allgemeines!$B$7:$D$12,3,0))</f>
        <v/>
      </c>
      <c r="K31" s="141"/>
      <c r="L31" s="141"/>
      <c r="M31" s="141"/>
      <c r="N31" s="141"/>
      <c r="P31" s="141" t="str">
        <f>IF(D7="","",VLOOKUP(D7,Allgemeines!$B$7:$D$12,3,0))</f>
        <v/>
      </c>
      <c r="Q31" s="141"/>
      <c r="R31" s="141"/>
      <c r="S31" s="141"/>
      <c r="T31" s="141"/>
    </row>
    <row r="32" ht="21">
      <c r="A32" s="9" t="s">
        <v>120</v>
      </c>
      <c r="F32" s="10" t="str">
        <f>IF(V43&gt;V45,CONCATENATE("Achtung! Teamreihenfolge ",D36," nicht richtig! 1. und 2. Doppel tauschen."),IF(V45&gt;V47,CONCATENATE("Achtung! Teamreihenfolge ",D36," nicht richtig! 2. und 3. Doppel tauschen."),IF(AND(V49&gt;=V50,V50&gt;0),CONCATENATE("Achtung! Teamreihenfolge ",D36," nicht richtig! Beide Einzel tauschen."),IF(W43&gt;W45,CONCATENATE("Achtung! Teamreihenfolge ",D38," nicht richtig! 1. und 2. Doppel tauschen."),IF(W45&gt;W47,CONCATENATE("Achtung! Teamreihenfolge ",D38," nicht richtig! 2. und 3. Doppel tauschen."),IF(AND(W49&gt;=W50,W50&gt;0),CONCATENATE("Achtung! Teamreihenfolge ",D38," nicht richtig! Beide Einzel tauschen."),""))))))</f>
        <v/>
      </c>
      <c r="G32" s="10"/>
      <c r="H32" s="10"/>
      <c r="I32" s="10"/>
      <c r="J32" s="10"/>
      <c r="K32" s="10"/>
      <c r="L32" s="10"/>
      <c r="M32" s="10"/>
      <c r="N32" s="10"/>
    </row>
    <row r="33" s="11" customFormat="1" ht="26.25">
      <c r="A33" s="12" t="s">
        <v>121</v>
      </c>
      <c r="B33" s="12"/>
      <c r="C33" s="12"/>
      <c r="D33" s="12"/>
      <c r="E33" s="12"/>
      <c r="F33" s="10"/>
      <c r="G33" s="10"/>
      <c r="H33" s="10"/>
      <c r="I33" s="10"/>
      <c r="J33" s="10"/>
      <c r="K33" s="10"/>
      <c r="L33" s="10"/>
      <c r="M33" s="10"/>
      <c r="N33" s="10"/>
    </row>
    <row r="34" s="11" customFormat="1" ht="26.25">
      <c r="A34" s="13" t="s">
        <v>122</v>
      </c>
      <c r="B34" s="12"/>
      <c r="C34" s="12"/>
      <c r="D34" s="12"/>
      <c r="E34" s="12"/>
      <c r="F34" s="10"/>
      <c r="G34" s="10"/>
      <c r="H34" s="10"/>
      <c r="I34" s="10"/>
      <c r="J34" s="10"/>
      <c r="K34" s="10"/>
      <c r="L34" s="10"/>
      <c r="M34" s="10"/>
      <c r="N34" s="10"/>
    </row>
    <row r="35" s="14" customFormat="1" ht="15" customHeight="1">
      <c r="A35" s="15"/>
      <c r="M35" s="16"/>
      <c r="V35" s="14"/>
      <c r="W35" s="14"/>
      <c r="AD35" s="17"/>
    </row>
    <row r="36" s="11" customFormat="1" ht="21" customHeight="1">
      <c r="A36" s="18" t="s">
        <v>123</v>
      </c>
      <c r="B36" s="18"/>
      <c r="C36" s="18"/>
      <c r="D36" s="19"/>
      <c r="E36" s="19"/>
      <c r="F36" s="19"/>
      <c r="G36" s="19"/>
      <c r="H36" s="19"/>
      <c r="K36" s="20"/>
      <c r="L36" s="21" t="s">
        <v>124</v>
      </c>
      <c r="M36" s="22" t="str">
        <f>Gruppe</f>
        <v>II</v>
      </c>
      <c r="N36" s="20"/>
      <c r="O36" s="20"/>
      <c r="P36" s="20"/>
      <c r="Q36" s="20"/>
      <c r="R36" s="20"/>
      <c r="S36" s="20"/>
      <c r="T36" s="20"/>
      <c r="V36" s="11"/>
      <c r="W36" s="23"/>
      <c r="AD36" s="17"/>
    </row>
    <row r="37" s="14" customFormat="1" ht="21" customHeight="1">
      <c r="C37" s="24" t="s">
        <v>125</v>
      </c>
      <c r="L37" s="24" t="s">
        <v>126</v>
      </c>
      <c r="M37" s="16"/>
      <c r="N37" s="16"/>
      <c r="O37" s="16"/>
      <c r="P37" s="16"/>
      <c r="Q37" s="16"/>
      <c r="V37" s="23"/>
      <c r="W37" s="23"/>
      <c r="AD37" s="17"/>
    </row>
    <row r="38" s="11" customFormat="1" ht="21" customHeight="1">
      <c r="A38" s="18" t="s">
        <v>127</v>
      </c>
      <c r="B38" s="18"/>
      <c r="C38" s="18"/>
      <c r="D38" s="19"/>
      <c r="E38" s="19"/>
      <c r="F38" s="19"/>
      <c r="G38" s="19"/>
      <c r="H38" s="19"/>
      <c r="J38" s="18" t="s">
        <v>128</v>
      </c>
      <c r="K38" s="18"/>
      <c r="L38" s="18"/>
      <c r="M38" s="22" t="str">
        <f>Austragungsort</f>
        <v xml:space="preserve">Sporthalle Berlin</v>
      </c>
      <c r="N38" s="25"/>
      <c r="O38" s="25"/>
      <c r="P38" s="25"/>
      <c r="Q38" s="25"/>
      <c r="R38" s="20"/>
      <c r="S38" s="20"/>
      <c r="T38" s="20"/>
      <c r="V38" s="23"/>
      <c r="W38" s="23"/>
      <c r="Y38" s="26" t="s">
        <v>129</v>
      </c>
      <c r="Z38" s="27"/>
      <c r="AA38" s="28" t="s">
        <v>130</v>
      </c>
      <c r="AB38" s="27"/>
      <c r="AD38" s="29" t="s">
        <v>131</v>
      </c>
      <c r="AE38" s="17"/>
      <c r="AF38" s="17"/>
      <c r="AG38" s="17"/>
      <c r="AH38" s="17"/>
      <c r="AI38" s="17"/>
      <c r="AJ38" s="17"/>
      <c r="AK38" s="17"/>
      <c r="AL38" s="17"/>
      <c r="AM38" s="17"/>
    </row>
    <row r="39" s="11" customFormat="1" ht="21">
      <c r="A39" s="15"/>
      <c r="C39" s="24" t="s">
        <v>132</v>
      </c>
      <c r="L39" s="24" t="s">
        <v>133</v>
      </c>
      <c r="V39" s="23"/>
      <c r="W39" s="23"/>
      <c r="Y39" s="30">
        <v>1</v>
      </c>
      <c r="Z39" s="31" t="e">
        <f>VLOOKUP(CONCATENATE($D36," ",Y39),Setzlisten!$A:$E,5,0)</f>
        <v>#N/A</v>
      </c>
      <c r="AA39" s="30" t="e">
        <f>VLOOKUP(CONCATENATE($D38," ",Y39),Setzlisten!$A:$E,5,0)</f>
        <v>#N/A</v>
      </c>
      <c r="AB39" s="31">
        <v>1</v>
      </c>
      <c r="AD39" s="32" t="str">
        <f>CONCATENATE(A43,": ",D43," mit ",D44," - ",G43," mit ",G44,", ",I43,":",J43,", ",K43,":",L43,IF(M43="","",CONCATENATE(", ",M43,":",N43)),CHAR(10),A45,": ",D45," mit ",D46," - ",G45," mit ",G46,", ",I45,":",J45,", ",K45,":",L45,IF(M45="","",CONCATENATE(", ",M45,":",N45)),CHAR(10),A47,": ",D47," mit ",D48," - ",G47," mit ",G48,", ",I47,":",J47,", ",K47,":",L47,IF(M47="","",CONCATENATE(", ",M47,":",N47)),CHAR(10),A49,": ",D49," - ",G49,", ",I49,":",J49,", ",K49,":",L49,IF(M49="","",CONCATENATE(", ",M49,":",N49)),CHAR(10),A50,": ",D50," - ",G50,", ",I50,":",J50,", ",K50,":",L50,IF(M50="","",CONCATENATE(", ",M50,":",N50)))</f>
        <v xml:space="preserve">1. Doppel
1st Doubles:  mit  -  mit , :, :
2. Doppel
2nd Doubles:  mit  -  mit , :, :
3. Doppel
3rd Doubles:  mit  -  mit , :, :
1. Einzel
1st Singles:  - , :, :
2. Einzel
2nd Singles:  - , :, :</v>
      </c>
      <c r="AE39" s="17"/>
      <c r="AF39" s="17"/>
      <c r="AG39" s="17"/>
      <c r="AH39" s="17"/>
      <c r="AI39" s="17"/>
      <c r="AJ39" s="17"/>
      <c r="AK39" s="17"/>
      <c r="AL39" s="17"/>
      <c r="AM39" s="17"/>
    </row>
    <row r="40" s="11" customFormat="1" ht="26.25" customHeight="1">
      <c r="A40" s="33" t="s">
        <v>134</v>
      </c>
      <c r="B40" s="34"/>
      <c r="C40" s="35" t="s">
        <v>135</v>
      </c>
      <c r="D40" s="36" t="s">
        <v>136</v>
      </c>
      <c r="E40" s="37"/>
      <c r="F40" s="38" t="s">
        <v>135</v>
      </c>
      <c r="G40" s="39" t="s">
        <v>137</v>
      </c>
      <c r="H40" s="40"/>
      <c r="I40" s="41" t="s">
        <v>138</v>
      </c>
      <c r="J40" s="42"/>
      <c r="K40" s="41" t="s">
        <v>139</v>
      </c>
      <c r="L40" s="42"/>
      <c r="M40" s="43" t="s">
        <v>140</v>
      </c>
      <c r="N40" s="44"/>
      <c r="O40" s="45" t="s">
        <v>141</v>
      </c>
      <c r="P40" s="46"/>
      <c r="Q40" s="47" t="s">
        <v>142</v>
      </c>
      <c r="R40" s="48"/>
      <c r="S40" s="49" t="s">
        <v>143</v>
      </c>
      <c r="T40" s="50"/>
      <c r="V40" s="51" t="s">
        <v>144</v>
      </c>
      <c r="W40" s="52" t="s">
        <v>145</v>
      </c>
      <c r="Y40" s="30">
        <v>2</v>
      </c>
      <c r="Z40" s="31" t="e">
        <f>VLOOKUP(CONCATENATE($D36," ",Y40),Setzlisten!$A:$E,5,0)</f>
        <v>#N/A</v>
      </c>
      <c r="AA40" s="30" t="e">
        <f>VLOOKUP(CONCATENATE($D38," ",Y40),Setzlisten!$A:$E,5,0)</f>
        <v>#N/A</v>
      </c>
      <c r="AB40" s="31">
        <v>2</v>
      </c>
      <c r="AD40" s="32"/>
      <c r="AE40" s="17"/>
      <c r="AF40" s="17"/>
      <c r="AG40" s="17"/>
      <c r="AH40" s="17"/>
      <c r="AI40" s="17"/>
      <c r="AJ40" s="17"/>
      <c r="AK40" s="17"/>
      <c r="AL40" s="17"/>
      <c r="AM40" s="17"/>
    </row>
    <row r="41" s="11" customFormat="1" ht="29.25" customHeight="1">
      <c r="A41" s="53">
        <f>A10</f>
        <v>0.52083333333333337</v>
      </c>
      <c r="B41" s="34"/>
      <c r="C41" s="54"/>
      <c r="D41" s="55"/>
      <c r="E41" s="56"/>
      <c r="F41" s="57"/>
      <c r="G41" s="58"/>
      <c r="H41" s="40"/>
      <c r="I41" s="59"/>
      <c r="J41" s="60"/>
      <c r="K41" s="59"/>
      <c r="L41" s="60"/>
      <c r="M41" s="61"/>
      <c r="N41" s="62"/>
      <c r="O41" s="63" t="s">
        <v>146</v>
      </c>
      <c r="P41" s="64" t="s">
        <v>147</v>
      </c>
      <c r="Q41" s="65" t="s">
        <v>146</v>
      </c>
      <c r="R41" s="66" t="s">
        <v>147</v>
      </c>
      <c r="S41" s="64" t="s">
        <v>146</v>
      </c>
      <c r="T41" s="67" t="s">
        <v>147</v>
      </c>
      <c r="V41" s="68"/>
      <c r="W41" s="69"/>
      <c r="Y41" s="30">
        <v>3</v>
      </c>
      <c r="Z41" s="31" t="e">
        <f>VLOOKUP(CONCATENATE($D36," ",Y41),Setzlisten!$A:$E,5,0)</f>
        <v>#N/A</v>
      </c>
      <c r="AA41" s="30" t="e">
        <f>VLOOKUP(CONCATENATE($D38," ",Y41),Setzlisten!$A:$E,5,0)</f>
        <v>#N/A</v>
      </c>
      <c r="AB41" s="31">
        <v>3</v>
      </c>
      <c r="AD41" s="32"/>
      <c r="AE41" s="17"/>
      <c r="AF41" s="17"/>
      <c r="AG41" s="17"/>
      <c r="AH41" s="17"/>
      <c r="AI41" s="17"/>
      <c r="AJ41" s="17"/>
      <c r="AK41" s="17"/>
      <c r="AL41" s="17"/>
      <c r="AM41" s="17"/>
    </row>
    <row r="42" s="70" customFormat="1" ht="9">
      <c r="V42" s="30"/>
      <c r="W42" s="31"/>
      <c r="Y42" s="30">
        <v>4</v>
      </c>
      <c r="Z42" s="31" t="e">
        <f>VLOOKUP(CONCATENATE($D36," ",Y42),Setzlisten!$A:$E,5,0)</f>
        <v>#N/A</v>
      </c>
      <c r="AA42" s="30" t="e">
        <f>VLOOKUP(CONCATENATE($D38," ",Y42),Setzlisten!$A:$E,5,0)</f>
        <v>#N/A</v>
      </c>
      <c r="AB42" s="31">
        <v>4</v>
      </c>
      <c r="AD42" s="32"/>
    </row>
    <row r="43" s="11" customFormat="1" ht="24" customHeight="1">
      <c r="A43" s="71" t="s">
        <v>148</v>
      </c>
      <c r="C43" s="72">
        <f>IF(D43="",0,VLOOKUP(D43,$Z39:$AB53,3,0))</f>
        <v>0</v>
      </c>
      <c r="D43" s="73"/>
      <c r="E43" s="74"/>
      <c r="F43" s="75">
        <f>IF(G43="",0,VLOOKUP(G43,$AA39:$AB53,2,0))</f>
        <v>0</v>
      </c>
      <c r="G43" s="76"/>
      <c r="H43" s="148"/>
      <c r="I43" s="77"/>
      <c r="J43" s="78"/>
      <c r="K43" s="77"/>
      <c r="L43" s="78"/>
      <c r="M43" s="77"/>
      <c r="N43" s="79"/>
      <c r="O43" s="80" t="str">
        <f>IF(I43="","",SUM(I43,K43,M43))</f>
        <v/>
      </c>
      <c r="P43" s="81" t="str">
        <f>IF(J43="","",SUM(J43,L43,N43))</f>
        <v/>
      </c>
      <c r="Q43" s="82" t="str">
        <f>IF(I43="","",IF(I43&gt;J43,1,0)+IF(K43&gt;L43,1,0)+IF(M43="",0,IF(M43&gt;N43,1,0)))</f>
        <v/>
      </c>
      <c r="R43" s="83" t="str">
        <f>IF(I43="","",IF(J43&gt;I43,1,0)+IF(L43&gt;K43,1,0)+IF(M43="",0,IF(N43&gt;M43,1,0)))</f>
        <v/>
      </c>
      <c r="S43" s="84" t="str">
        <f>IF(I43="","",IF(Q43&gt;R43,1,0))</f>
        <v/>
      </c>
      <c r="T43" s="85" t="str">
        <f>IF(I43="","",IF(R43&gt;Q43,1,0))</f>
        <v/>
      </c>
      <c r="V43" s="86">
        <f>C43+C44</f>
        <v>0</v>
      </c>
      <c r="W43" s="87">
        <f>F43+F44</f>
        <v>0</v>
      </c>
      <c r="Y43" s="30">
        <v>5</v>
      </c>
      <c r="Z43" s="31" t="e">
        <f>VLOOKUP(CONCATENATE($D36," ",Y43),Setzlisten!$A:$E,5,0)</f>
        <v>#N/A</v>
      </c>
      <c r="AA43" s="30" t="e">
        <f>VLOOKUP(CONCATENATE($D38," ",Y43),Setzlisten!$A:$E,5,0)</f>
        <v>#N/A</v>
      </c>
      <c r="AB43" s="31">
        <v>5</v>
      </c>
      <c r="AD43" s="32"/>
    </row>
    <row r="44" s="11" customFormat="1" ht="24" customHeight="1">
      <c r="A44" s="88"/>
      <c r="C44" s="89">
        <f>IF(D44="",0,VLOOKUP(D44,$Z39:$AB53,3,0))</f>
        <v>0</v>
      </c>
      <c r="D44" s="90"/>
      <c r="E44" s="91"/>
      <c r="F44" s="92">
        <f>IF(G44="",0,VLOOKUP(G44,$AA39:$AB53,2,0))</f>
        <v>0</v>
      </c>
      <c r="G44" s="93"/>
      <c r="H44" s="148"/>
      <c r="I44" s="77"/>
      <c r="J44" s="78"/>
      <c r="K44" s="77"/>
      <c r="L44" s="78"/>
      <c r="M44" s="77"/>
      <c r="N44" s="79"/>
      <c r="O44" s="92"/>
      <c r="P44" s="94"/>
      <c r="Q44" s="89"/>
      <c r="R44" s="95"/>
      <c r="S44" s="96"/>
      <c r="T44" s="97"/>
      <c r="V44" s="98"/>
      <c r="W44" s="99"/>
      <c r="Y44" s="30">
        <v>6</v>
      </c>
      <c r="Z44" s="31" t="e">
        <f>VLOOKUP(CONCATENATE($D36," ",Y44),Setzlisten!$A:$E,5,0)</f>
        <v>#N/A</v>
      </c>
      <c r="AA44" s="30" t="e">
        <f>VLOOKUP(CONCATENATE($D38," ",Y44),Setzlisten!$A:$E,5,0)</f>
        <v>#N/A</v>
      </c>
      <c r="AB44" s="31">
        <v>6</v>
      </c>
      <c r="AD44" s="32"/>
    </row>
    <row r="45" s="11" customFormat="1" ht="24" customHeight="1">
      <c r="A45" s="71" t="s">
        <v>149</v>
      </c>
      <c r="C45" s="72">
        <f>IF(D45="",0,VLOOKUP(D45,$Z39:$AB53,3,0))</f>
        <v>0</v>
      </c>
      <c r="D45" s="73"/>
      <c r="E45" s="74"/>
      <c r="F45" s="75">
        <f>IF(G45="",0,VLOOKUP(G45,$AA39:$AB53,2,0))</f>
        <v>0</v>
      </c>
      <c r="G45" s="76"/>
      <c r="H45" s="148"/>
      <c r="I45" s="77"/>
      <c r="J45" s="100"/>
      <c r="K45" s="77"/>
      <c r="L45" s="78"/>
      <c r="M45" s="77"/>
      <c r="N45" s="79"/>
      <c r="O45" s="80" t="str">
        <f>IF(I45="","",SUM(I45,K45,M45))</f>
        <v/>
      </c>
      <c r="P45" s="81" t="str">
        <f t="shared" ref="P45:P50" si="74">IF(J45="","",SUM(J45,L45,N45))</f>
        <v/>
      </c>
      <c r="Q45" s="82" t="str">
        <f t="shared" ref="Q45:Q50" si="75">IF(I45="","",IF(I45&gt;J45,1,0)+IF(K45&gt;L45,1,0)+IF(M45="",0,IF(M45&gt;N45,1,0)))</f>
        <v/>
      </c>
      <c r="R45" s="83" t="str">
        <f t="shared" ref="R45:R50" si="76">IF(I45="","",IF(J45&gt;I45,1,0)+IF(L45&gt;K45,1,0)+IF(M45="",0,IF(N45&gt;M45,1,0)))</f>
        <v/>
      </c>
      <c r="S45" s="84" t="str">
        <f t="shared" ref="S45:S50" si="77">IF(I45="","",IF(Q45&gt;R45,1,0))</f>
        <v/>
      </c>
      <c r="T45" s="85" t="str">
        <f t="shared" ref="T45:T50" si="78">IF(I45="","",IF(R45&gt;Q45,1,0))</f>
        <v/>
      </c>
      <c r="V45" s="98">
        <f>C45+C46</f>
        <v>0</v>
      </c>
      <c r="W45" s="99">
        <f>F45+F46</f>
        <v>0</v>
      </c>
      <c r="Y45" s="30">
        <v>7</v>
      </c>
      <c r="Z45" s="31" t="e">
        <f>VLOOKUP(CONCATENATE($D36," ",Y45),Setzlisten!$A:$E,5,0)</f>
        <v>#N/A</v>
      </c>
      <c r="AA45" s="30" t="e">
        <f>VLOOKUP(CONCATENATE($D38," ",Y45),Setzlisten!$A:$E,5,0)</f>
        <v>#N/A</v>
      </c>
      <c r="AB45" s="31">
        <v>7</v>
      </c>
      <c r="AD45" s="101" t="s">
        <v>150</v>
      </c>
    </row>
    <row r="46" s="11" customFormat="1" ht="24" customHeight="1">
      <c r="A46" s="88"/>
      <c r="C46" s="89">
        <f>IF(D46="",0,VLOOKUP(D46,$Z39:$AB53,3,0))</f>
        <v>0</v>
      </c>
      <c r="D46" s="90"/>
      <c r="E46" s="91"/>
      <c r="F46" s="92">
        <f>IF(G46="",0,VLOOKUP(G46,$AA39:$AB53,2,0))</f>
        <v>0</v>
      </c>
      <c r="G46" s="93"/>
      <c r="H46" s="148"/>
      <c r="I46" s="77"/>
      <c r="J46" s="78"/>
      <c r="K46" s="77"/>
      <c r="L46" s="78"/>
      <c r="M46" s="77"/>
      <c r="N46" s="79"/>
      <c r="O46" s="92"/>
      <c r="P46" s="94"/>
      <c r="Q46" s="89"/>
      <c r="R46" s="95"/>
      <c r="S46" s="96"/>
      <c r="T46" s="97"/>
      <c r="V46" s="98"/>
      <c r="W46" s="99"/>
      <c r="Y46" s="30">
        <v>8</v>
      </c>
      <c r="Z46" s="31" t="e">
        <f>VLOOKUP(CONCATENATE($D36," ",Y46),Setzlisten!$A:$E,5,0)</f>
        <v>#N/A</v>
      </c>
      <c r="AA46" s="30" t="e">
        <f>VLOOKUP(CONCATENATE($D38," ",Y46),Setzlisten!$A:$E,5,0)</f>
        <v>#N/A</v>
      </c>
      <c r="AB46" s="31">
        <v>8</v>
      </c>
      <c r="AD46" s="101"/>
    </row>
    <row r="47" s="11" customFormat="1" ht="24" customHeight="1">
      <c r="A47" s="71" t="s">
        <v>151</v>
      </c>
      <c r="C47" s="72">
        <f>IF(D47="",0,VLOOKUP(D47,$Z39:$AB53,3,0))</f>
        <v>0</v>
      </c>
      <c r="D47" s="73"/>
      <c r="E47" s="74"/>
      <c r="F47" s="75">
        <f>IF(G47="",0,VLOOKUP(G47,$AA39:$AB53,2,0))</f>
        <v>0</v>
      </c>
      <c r="G47" s="76"/>
      <c r="H47" s="148"/>
      <c r="I47" s="77"/>
      <c r="J47" s="78"/>
      <c r="K47" s="77"/>
      <c r="L47" s="78"/>
      <c r="M47" s="77"/>
      <c r="N47" s="79"/>
      <c r="O47" s="80" t="str">
        <f>IF(I47="","",SUM(I47,K47,M47))</f>
        <v/>
      </c>
      <c r="P47" s="81" t="str">
        <f t="shared" si="74"/>
        <v/>
      </c>
      <c r="Q47" s="82" t="str">
        <f t="shared" si="75"/>
        <v/>
      </c>
      <c r="R47" s="83" t="str">
        <f t="shared" si="76"/>
        <v/>
      </c>
      <c r="S47" s="84" t="str">
        <f t="shared" si="77"/>
        <v/>
      </c>
      <c r="T47" s="85" t="str">
        <f t="shared" si="78"/>
        <v/>
      </c>
      <c r="V47" s="98">
        <f>C47+C48</f>
        <v>0</v>
      </c>
      <c r="W47" s="99">
        <f>F47+F48</f>
        <v>0</v>
      </c>
      <c r="Y47" s="30">
        <v>9</v>
      </c>
      <c r="Z47" s="31" t="e">
        <f>VLOOKUP(CONCATENATE($D36," ",Y47),Setzlisten!$A:$E,5,0)</f>
        <v>#N/A</v>
      </c>
      <c r="AA47" s="30" t="e">
        <f>VLOOKUP(CONCATENATE($D38," ",Y47),Setzlisten!$A:$E,5,0)</f>
        <v>#N/A</v>
      </c>
      <c r="AB47" s="31">
        <v>9</v>
      </c>
      <c r="AD47" s="32"/>
    </row>
    <row r="48" s="11" customFormat="1" ht="24" customHeight="1">
      <c r="A48" s="88"/>
      <c r="C48" s="89">
        <f>IF(D48="",0,VLOOKUP(D48,$Z39:$AB53,3,0))</f>
        <v>0</v>
      </c>
      <c r="D48" s="90"/>
      <c r="E48" s="91"/>
      <c r="F48" s="92">
        <f>IF(G48="",0,VLOOKUP(G48,$AA39:$AB53,2,0))</f>
        <v>0</v>
      </c>
      <c r="G48" s="93"/>
      <c r="H48" s="148"/>
      <c r="I48" s="77"/>
      <c r="J48" s="78"/>
      <c r="K48" s="77"/>
      <c r="L48" s="78"/>
      <c r="M48" s="77"/>
      <c r="N48" s="79"/>
      <c r="O48" s="92"/>
      <c r="P48" s="94"/>
      <c r="Q48" s="89"/>
      <c r="R48" s="95"/>
      <c r="S48" s="96"/>
      <c r="T48" s="97"/>
      <c r="V48" s="102"/>
      <c r="W48" s="103"/>
      <c r="Y48" s="30">
        <v>10</v>
      </c>
      <c r="Z48" s="31" t="e">
        <f>VLOOKUP(CONCATENATE($D36," ",Y48),Setzlisten!$A:$E,5,0)</f>
        <v>#N/A</v>
      </c>
      <c r="AA48" s="30" t="e">
        <f>VLOOKUP(CONCATENATE($D38," ",Y48),Setzlisten!$A:$E,5,0)</f>
        <v>#N/A</v>
      </c>
      <c r="AB48" s="31">
        <v>10</v>
      </c>
      <c r="AD48" s="32"/>
    </row>
    <row r="49" s="11" customFormat="1" ht="30" customHeight="1">
      <c r="A49" s="71" t="s">
        <v>152</v>
      </c>
      <c r="B49" s="104"/>
      <c r="C49" s="105">
        <f>IF(D49="",0,VLOOKUP(D49,$Z39:$AB53,3,0))</f>
        <v>0</v>
      </c>
      <c r="D49" s="106"/>
      <c r="E49" s="107"/>
      <c r="F49" s="108">
        <f>IF(G49="",0,VLOOKUP(G49,$AA39:$AB53,2,0))</f>
        <v>0</v>
      </c>
      <c r="G49" s="109"/>
      <c r="H49" s="148"/>
      <c r="I49" s="77"/>
      <c r="J49" s="78"/>
      <c r="K49" s="77"/>
      <c r="L49" s="78"/>
      <c r="M49" s="77"/>
      <c r="N49" s="79"/>
      <c r="O49" s="149" t="str">
        <f t="shared" ref="O49:O50" si="79">IF(I49="","",SUM(I49,K49,M49))</f>
        <v/>
      </c>
      <c r="P49" s="150" t="str">
        <f t="shared" si="74"/>
        <v/>
      </c>
      <c r="Q49" s="151" t="str">
        <f t="shared" si="75"/>
        <v/>
      </c>
      <c r="R49" s="152" t="str">
        <f t="shared" si="76"/>
        <v/>
      </c>
      <c r="S49" s="153" t="str">
        <f t="shared" si="77"/>
        <v/>
      </c>
      <c r="T49" s="154" t="str">
        <f t="shared" si="78"/>
        <v/>
      </c>
      <c r="V49" s="98">
        <f t="shared" ref="V49:V50" si="80">C49</f>
        <v>0</v>
      </c>
      <c r="W49" s="99">
        <f t="shared" ref="W49:W50" si="81">F49</f>
        <v>0</v>
      </c>
      <c r="Y49" s="30">
        <v>11</v>
      </c>
      <c r="Z49" s="31" t="e">
        <f>VLOOKUP(CONCATENATE($D36," ",Y49),Setzlisten!$A:$E,5,0)</f>
        <v>#N/A</v>
      </c>
      <c r="AA49" s="30" t="e">
        <f>VLOOKUP(CONCATENATE($D38," ",Y49),Setzlisten!$A:$E,5,0)</f>
        <v>#N/A</v>
      </c>
      <c r="AB49" s="31">
        <v>11</v>
      </c>
      <c r="AD49" s="32"/>
    </row>
    <row r="50" s="11" customFormat="1" ht="30" customHeight="1">
      <c r="A50" s="71" t="s">
        <v>153</v>
      </c>
      <c r="B50" s="104"/>
      <c r="C50" s="105">
        <f>IF(D50="",0,VLOOKUP(D50,$Z39:$AB53,3,0))</f>
        <v>0</v>
      </c>
      <c r="D50" s="106"/>
      <c r="E50" s="107"/>
      <c r="F50" s="108">
        <f>IF(G50="",0,VLOOKUP(G50,$AA39:$AB53,2,0))</f>
        <v>0</v>
      </c>
      <c r="G50" s="109"/>
      <c r="H50" s="148"/>
      <c r="I50" s="77"/>
      <c r="J50" s="78"/>
      <c r="K50" s="77"/>
      <c r="L50" s="78"/>
      <c r="M50" s="77"/>
      <c r="N50" s="79"/>
      <c r="O50" s="149" t="str">
        <f t="shared" si="79"/>
        <v/>
      </c>
      <c r="P50" s="150" t="str">
        <f t="shared" si="74"/>
        <v/>
      </c>
      <c r="Q50" s="151" t="str">
        <f t="shared" si="75"/>
        <v/>
      </c>
      <c r="R50" s="152" t="str">
        <f t="shared" si="76"/>
        <v/>
      </c>
      <c r="S50" s="153" t="str">
        <f t="shared" si="77"/>
        <v/>
      </c>
      <c r="T50" s="154" t="str">
        <f t="shared" si="78"/>
        <v/>
      </c>
      <c r="V50" s="102">
        <f t="shared" si="80"/>
        <v>0</v>
      </c>
      <c r="W50" s="103">
        <f t="shared" si="81"/>
        <v>0</v>
      </c>
      <c r="Y50" s="30">
        <v>12</v>
      </c>
      <c r="Z50" s="31" t="e">
        <f>VLOOKUP(CONCATENATE($D36," ",Y50),Setzlisten!$A:$E,5,0)</f>
        <v>#N/A</v>
      </c>
      <c r="AA50" s="30" t="e">
        <f>VLOOKUP(CONCATENATE($D38," ",Y50),Setzlisten!$A:$E,5,0)</f>
        <v>#N/A</v>
      </c>
      <c r="AB50" s="31">
        <v>12</v>
      </c>
      <c r="AD50" s="32"/>
    </row>
    <row r="51" s="70" customFormat="1" ht="9">
      <c r="Y51" s="30">
        <v>13</v>
      </c>
      <c r="Z51" s="31" t="e">
        <f>VLOOKUP(CONCATENATE($D36," ",Y51),Setzlisten!$A:$E,5,0)</f>
        <v>#N/A</v>
      </c>
      <c r="AA51" s="30" t="e">
        <f>VLOOKUP(CONCATENATE($D38," ",Y51),Setzlisten!$A:$E,5,0)</f>
        <v>#N/A</v>
      </c>
      <c r="AB51" s="31">
        <v>13</v>
      </c>
      <c r="AD51" s="32"/>
    </row>
    <row r="52" s="11" customFormat="1" ht="15.75">
      <c r="A52" s="114" t="s">
        <v>154</v>
      </c>
      <c r="B52" s="34"/>
      <c r="C52" s="115" t="s">
        <v>155</v>
      </c>
      <c r="D52" s="116"/>
      <c r="E52" s="117" t="str">
        <f>IF(S52="","",IF(S52&gt;T52,D36,D38))</f>
        <v/>
      </c>
      <c r="F52" s="118"/>
      <c r="G52" s="119"/>
      <c r="I52" s="115" t="s">
        <v>156</v>
      </c>
      <c r="J52" s="120"/>
      <c r="K52" s="120"/>
      <c r="L52" s="120"/>
      <c r="M52" s="120"/>
      <c r="N52" s="116"/>
      <c r="O52" s="82" t="str">
        <f t="shared" ref="O52:T52" si="82">IF(O43="","",SUM(O43:O50))</f>
        <v/>
      </c>
      <c r="P52" s="121" t="str">
        <f t="shared" si="82"/>
        <v/>
      </c>
      <c r="Q52" s="82" t="str">
        <f t="shared" si="82"/>
        <v/>
      </c>
      <c r="R52" s="121" t="str">
        <f t="shared" si="82"/>
        <v/>
      </c>
      <c r="S52" s="82" t="str">
        <f t="shared" si="82"/>
        <v/>
      </c>
      <c r="T52" s="122" t="str">
        <f t="shared" si="82"/>
        <v/>
      </c>
      <c r="Y52" s="30">
        <v>14</v>
      </c>
      <c r="Z52" s="31" t="e">
        <f>VLOOKUP(CONCATENATE($D36," ",Y52),Setzlisten!$A:$E,5,0)</f>
        <v>#N/A</v>
      </c>
      <c r="AA52" s="30" t="e">
        <f>VLOOKUP(CONCATENATE($D38," ",Y52),Setzlisten!$A:$E,5,0)</f>
        <v>#N/A</v>
      </c>
      <c r="AB52" s="31">
        <v>14</v>
      </c>
      <c r="AD52" s="32"/>
    </row>
    <row r="53" s="11" customFormat="1" ht="23.25">
      <c r="A53" s="53">
        <f>A22</f>
        <v>0.58333333333333337</v>
      </c>
      <c r="B53" s="34"/>
      <c r="C53" s="123"/>
      <c r="D53" s="124"/>
      <c r="E53" s="125"/>
      <c r="F53" s="126"/>
      <c r="G53" s="127"/>
      <c r="I53" s="123"/>
      <c r="J53" s="128"/>
      <c r="K53" s="128"/>
      <c r="L53" s="128"/>
      <c r="M53" s="128"/>
      <c r="N53" s="124"/>
      <c r="O53" s="129"/>
      <c r="P53" s="130"/>
      <c r="Q53" s="129"/>
      <c r="R53" s="130"/>
      <c r="S53" s="129"/>
      <c r="T53" s="131"/>
      <c r="Y53" s="132">
        <v>15</v>
      </c>
      <c r="Z53" s="133" t="e">
        <f>VLOOKUP(CONCATENATE($D36," ",Y53),Setzlisten!$A:$E,5,0)</f>
        <v>#N/A</v>
      </c>
      <c r="AA53" s="132" t="e">
        <f>VLOOKUP(CONCATENATE($D38," ",Y53),Setzlisten!$A:$E,5,0)</f>
        <v>#N/A</v>
      </c>
      <c r="AB53" s="133">
        <v>15</v>
      </c>
    </row>
    <row r="54" s="11" customFormat="1" ht="15" customHeight="1">
      <c r="A54" s="15"/>
    </row>
    <row r="55" s="11" customFormat="1" ht="30" customHeight="1">
      <c r="B55" s="21"/>
      <c r="C55" s="21"/>
      <c r="D55" s="134" t="s">
        <v>157</v>
      </c>
      <c r="E55" s="134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</row>
    <row r="56" s="11" customFormat="1">
      <c r="A56" s="14"/>
      <c r="P56" s="136"/>
      <c r="Q56" s="136"/>
      <c r="R56" s="136"/>
      <c r="S56" s="136"/>
      <c r="T56" s="136"/>
    </row>
    <row r="57" s="11" customFormat="1" ht="30" customHeight="1">
      <c r="A57" s="137" t="s">
        <v>158</v>
      </c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</row>
    <row r="58" s="11" customFormat="1" ht="36" customHeight="1">
      <c r="A58" s="139" t="str">
        <f>Allgemeines!$B$3</f>
        <v>Hamburg</v>
      </c>
      <c r="B58" s="139"/>
      <c r="C58" s="139"/>
      <c r="D58" s="139"/>
      <c r="E58" s="140">
        <f>Allgemeines!$B$4</f>
        <v>46023</v>
      </c>
      <c r="G58" s="141"/>
      <c r="J58" s="141"/>
      <c r="K58" s="141"/>
      <c r="L58" s="141"/>
      <c r="M58" s="141"/>
      <c r="N58" s="141"/>
      <c r="P58" s="141"/>
      <c r="Q58" s="141"/>
      <c r="R58" s="141"/>
      <c r="S58" s="141"/>
      <c r="T58" s="141"/>
    </row>
    <row r="59" s="11" customFormat="1">
      <c r="A59" s="142"/>
      <c r="B59" s="142"/>
      <c r="C59" s="142"/>
      <c r="D59" s="142"/>
      <c r="E59" s="143"/>
      <c r="G59" s="144"/>
      <c r="J59" s="144"/>
      <c r="K59" s="144"/>
      <c r="L59" s="144"/>
      <c r="M59" s="144"/>
      <c r="N59" s="144"/>
      <c r="P59" s="144"/>
      <c r="Q59" s="144"/>
      <c r="R59" s="144"/>
      <c r="S59" s="144"/>
      <c r="T59" s="144"/>
    </row>
    <row r="60" s="11" customFormat="1" ht="15.75">
      <c r="A60" s="145" t="s">
        <v>159</v>
      </c>
      <c r="B60" s="145"/>
      <c r="C60" s="145"/>
      <c r="D60" s="145"/>
      <c r="E60" s="145" t="s">
        <v>160</v>
      </c>
      <c r="F60" s="40"/>
      <c r="G60" s="145" t="s">
        <v>2</v>
      </c>
      <c r="H60" s="40"/>
      <c r="I60" s="40"/>
      <c r="J60" s="146" t="s">
        <v>161</v>
      </c>
      <c r="K60" s="146"/>
      <c r="L60" s="146"/>
      <c r="M60" s="146"/>
      <c r="N60" s="146"/>
      <c r="O60" s="40"/>
      <c r="P60" s="146" t="s">
        <v>162</v>
      </c>
      <c r="Q60" s="146"/>
      <c r="R60" s="146"/>
      <c r="S60" s="146"/>
      <c r="T60" s="146"/>
    </row>
    <row r="61">
      <c r="G61" s="147" t="s">
        <v>163</v>
      </c>
      <c r="J61" s="147" t="s">
        <v>164</v>
      </c>
      <c r="K61" s="147"/>
      <c r="L61" s="147"/>
      <c r="M61" s="147"/>
      <c r="N61" s="147"/>
      <c r="P61" s="147" t="s">
        <v>165</v>
      </c>
      <c r="Q61" s="147"/>
      <c r="R61" s="147"/>
      <c r="S61" s="147"/>
      <c r="T61" s="147"/>
    </row>
    <row r="62">
      <c r="G62" s="141" t="str">
        <f>Allgemeines!$D$2</f>
        <v xml:space="preserve">George Washington</v>
      </c>
      <c r="J62" s="141" t="str">
        <f>IF(D36="","",VLOOKUP(D36,Allgemeines!$B$7:$D$12,3,0))</f>
        <v/>
      </c>
      <c r="K62" s="141"/>
      <c r="L62" s="141"/>
      <c r="M62" s="141"/>
      <c r="N62" s="141"/>
      <c r="P62" s="141" t="str">
        <f>IF(D38="","",VLOOKUP(D38,Allgemeines!$B$7:$D$12,3,0))</f>
        <v/>
      </c>
      <c r="Q62" s="141"/>
      <c r="R62" s="141"/>
      <c r="S62" s="141"/>
      <c r="T62" s="141"/>
    </row>
    <row r="63" ht="21">
      <c r="A63" s="9" t="s">
        <v>120</v>
      </c>
      <c r="F63" s="10" t="str">
        <f>IF(V74&gt;V76,CONCATENATE("Achtung! Teamreihenfolge ",D67," nicht richtig! 1. und 2. Doppel tauschen."),IF(V76&gt;V78,CONCATENATE("Achtung! Teamreihenfolge ",D67," nicht richtig! 2. und 3. Doppel tauschen."),IF(AND(V80&gt;=V81,V81&gt;0),CONCATENATE("Achtung! Teamreihenfolge ",D67," nicht richtig! Beide Einzel tauschen."),IF(W74&gt;W76,CONCATENATE("Achtung! Teamreihenfolge ",D69," nicht richtig! 1. und 2. Doppel tauschen."),IF(W76&gt;W78,CONCATENATE("Achtung! Teamreihenfolge ",D69," nicht richtig! 2. und 3. Doppel tauschen."),IF(AND(W80&gt;=W81,W81&gt;0),CONCATENATE("Achtung! Teamreihenfolge ",D69," nicht richtig! Beide Einzel tauschen."),""))))))</f>
        <v/>
      </c>
      <c r="G63" s="10"/>
      <c r="H63" s="10"/>
      <c r="I63" s="10"/>
      <c r="J63" s="10"/>
      <c r="K63" s="10"/>
      <c r="L63" s="10"/>
      <c r="M63" s="10"/>
      <c r="N63" s="10"/>
    </row>
    <row r="64" s="11" customFormat="1" ht="26.25">
      <c r="A64" s="12" t="s">
        <v>121</v>
      </c>
      <c r="B64" s="12"/>
      <c r="C64" s="12"/>
      <c r="D64" s="12"/>
      <c r="E64" s="12"/>
      <c r="F64" s="10"/>
      <c r="G64" s="10"/>
      <c r="H64" s="10"/>
      <c r="I64" s="10"/>
      <c r="J64" s="10"/>
      <c r="K64" s="10"/>
      <c r="L64" s="10"/>
      <c r="M64" s="10"/>
      <c r="N64" s="10"/>
    </row>
    <row r="65" s="11" customFormat="1" ht="26.25">
      <c r="A65" s="13" t="s">
        <v>122</v>
      </c>
      <c r="B65" s="12"/>
      <c r="C65" s="12"/>
      <c r="D65" s="12"/>
      <c r="E65" s="12"/>
      <c r="F65" s="10"/>
      <c r="G65" s="10"/>
      <c r="H65" s="10"/>
      <c r="I65" s="10"/>
      <c r="J65" s="10"/>
      <c r="K65" s="10"/>
      <c r="L65" s="10"/>
      <c r="M65" s="10"/>
      <c r="N65" s="10"/>
    </row>
    <row r="66" s="14" customFormat="1" ht="15" customHeight="1">
      <c r="A66" s="15"/>
      <c r="M66" s="16"/>
      <c r="V66" s="14"/>
      <c r="W66" s="14"/>
      <c r="AD66" s="17"/>
    </row>
    <row r="67" s="11" customFormat="1" ht="21" customHeight="1">
      <c r="A67" s="18" t="s">
        <v>123</v>
      </c>
      <c r="B67" s="18"/>
      <c r="C67" s="18"/>
      <c r="D67" s="19"/>
      <c r="E67" s="19"/>
      <c r="F67" s="19"/>
      <c r="G67" s="19"/>
      <c r="H67" s="19"/>
      <c r="K67" s="20"/>
      <c r="L67" s="21" t="s">
        <v>124</v>
      </c>
      <c r="M67" s="22" t="str">
        <f>Gruppe</f>
        <v>II</v>
      </c>
      <c r="N67" s="20"/>
      <c r="O67" s="20"/>
      <c r="P67" s="20"/>
      <c r="Q67" s="20"/>
      <c r="R67" s="20"/>
      <c r="S67" s="20"/>
      <c r="T67" s="20"/>
      <c r="V67" s="11"/>
      <c r="W67" s="23"/>
      <c r="AD67" s="17"/>
    </row>
    <row r="68" s="14" customFormat="1" ht="21" customHeight="1">
      <c r="C68" s="24" t="s">
        <v>125</v>
      </c>
      <c r="L68" s="24" t="s">
        <v>126</v>
      </c>
      <c r="M68" s="16"/>
      <c r="N68" s="16"/>
      <c r="O68" s="16"/>
      <c r="P68" s="16"/>
      <c r="Q68" s="16"/>
      <c r="V68" s="23"/>
      <c r="W68" s="23"/>
      <c r="AD68" s="17"/>
    </row>
    <row r="69" s="11" customFormat="1" ht="21" customHeight="1">
      <c r="A69" s="18" t="s">
        <v>127</v>
      </c>
      <c r="B69" s="18"/>
      <c r="C69" s="18"/>
      <c r="D69" s="19"/>
      <c r="E69" s="19"/>
      <c r="F69" s="19"/>
      <c r="G69" s="19"/>
      <c r="H69" s="19"/>
      <c r="J69" s="18" t="s">
        <v>128</v>
      </c>
      <c r="K69" s="18"/>
      <c r="L69" s="18"/>
      <c r="M69" s="22" t="str">
        <f>Austragungsort</f>
        <v xml:space="preserve">Sporthalle Berlin</v>
      </c>
      <c r="N69" s="25"/>
      <c r="O69" s="25"/>
      <c r="P69" s="25"/>
      <c r="Q69" s="25"/>
      <c r="R69" s="20"/>
      <c r="S69" s="20"/>
      <c r="T69" s="20"/>
      <c r="V69" s="23"/>
      <c r="W69" s="23"/>
      <c r="Y69" s="26" t="s">
        <v>129</v>
      </c>
      <c r="Z69" s="27"/>
      <c r="AA69" s="28" t="s">
        <v>130</v>
      </c>
      <c r="AB69" s="27"/>
      <c r="AD69" s="29" t="s">
        <v>131</v>
      </c>
      <c r="AE69" s="17"/>
      <c r="AF69" s="17"/>
      <c r="AG69" s="17"/>
      <c r="AH69" s="17"/>
      <c r="AI69" s="17"/>
      <c r="AJ69" s="17"/>
      <c r="AK69" s="17"/>
      <c r="AL69" s="17"/>
      <c r="AM69" s="17"/>
    </row>
    <row r="70" s="11" customFormat="1" ht="21">
      <c r="A70" s="15"/>
      <c r="C70" s="24" t="s">
        <v>132</v>
      </c>
      <c r="L70" s="24" t="s">
        <v>133</v>
      </c>
      <c r="V70" s="23"/>
      <c r="W70" s="23"/>
      <c r="Y70" s="30">
        <v>1</v>
      </c>
      <c r="Z70" s="31" t="e">
        <f>VLOOKUP(CONCATENATE($D67," ",Y70),Setzlisten!$A:$E,5,0)</f>
        <v>#N/A</v>
      </c>
      <c r="AA70" s="30" t="e">
        <f>VLOOKUP(CONCATENATE($D69," ",Y70),Setzlisten!$A:$E,5,0)</f>
        <v>#N/A</v>
      </c>
      <c r="AB70" s="31">
        <v>1</v>
      </c>
      <c r="AD70" s="32" t="str">
        <f>CONCATENATE(A74,": ",D74," mit ",D75," - ",G74," mit ",G75,", ",I74,":",J74,", ",K74,":",L74,IF(M74="","",CONCATENATE(", ",M74,":",N74)),CHAR(10),A76,": ",D76," mit ",D77," - ",G76," mit ",G77,", ",I76,":",J76,", ",K76,":",L76,IF(M76="","",CONCATENATE(", ",M76,":",N76)),CHAR(10),A78,": ",D78," mit ",D79," - ",G78," mit ",G79,", ",I78,":",J78,", ",K78,":",L78,IF(M78="","",CONCATENATE(", ",M78,":",N78)),CHAR(10),A80,": ",D80," - ",G80,", ",I80,":",J80,", ",K80,":",L80,IF(M80="","",CONCATENATE(", ",M80,":",N80)),CHAR(10),A81,": ",D81," - ",G81,", ",I81,":",J81,", ",K81,":",L81,IF(M81="","",CONCATENATE(", ",M81,":",N81)))</f>
        <v xml:space="preserve">1. Doppel
1st Doubles:  mit  -  mit , :, :
2. Doppel
2nd Doubles:  mit  -  mit , :, :
3. Doppel
3rd Doubles:  mit  -  mit , :, :
1. Einzel
1st Singles:  - , :, :
2. Einzel
2nd Singles:  - , :, :</v>
      </c>
      <c r="AE70" s="17"/>
      <c r="AF70" s="17"/>
      <c r="AG70" s="17"/>
      <c r="AH70" s="17"/>
      <c r="AI70" s="17"/>
      <c r="AJ70" s="17"/>
      <c r="AK70" s="17"/>
      <c r="AL70" s="17"/>
      <c r="AM70" s="17"/>
    </row>
    <row r="71" s="11" customFormat="1" ht="26.25" customHeight="1">
      <c r="A71" s="33" t="s">
        <v>134</v>
      </c>
      <c r="B71" s="34"/>
      <c r="C71" s="35" t="s">
        <v>135</v>
      </c>
      <c r="D71" s="36" t="s">
        <v>136</v>
      </c>
      <c r="E71" s="37"/>
      <c r="F71" s="38" t="s">
        <v>135</v>
      </c>
      <c r="G71" s="39" t="s">
        <v>137</v>
      </c>
      <c r="H71" s="40"/>
      <c r="I71" s="41" t="s">
        <v>138</v>
      </c>
      <c r="J71" s="42"/>
      <c r="K71" s="41" t="s">
        <v>139</v>
      </c>
      <c r="L71" s="42"/>
      <c r="M71" s="43" t="s">
        <v>140</v>
      </c>
      <c r="N71" s="44"/>
      <c r="O71" s="45" t="s">
        <v>141</v>
      </c>
      <c r="P71" s="46"/>
      <c r="Q71" s="47" t="s">
        <v>142</v>
      </c>
      <c r="R71" s="48"/>
      <c r="S71" s="49" t="s">
        <v>143</v>
      </c>
      <c r="T71" s="50"/>
      <c r="V71" s="51" t="s">
        <v>144</v>
      </c>
      <c r="W71" s="52" t="s">
        <v>145</v>
      </c>
      <c r="Y71" s="30">
        <v>2</v>
      </c>
      <c r="Z71" s="31" t="e">
        <f>VLOOKUP(CONCATENATE($D67," ",Y71),Setzlisten!$A:$E,5,0)</f>
        <v>#N/A</v>
      </c>
      <c r="AA71" s="30" t="e">
        <f>VLOOKUP(CONCATENATE($D69," ",Y71),Setzlisten!$A:$E,5,0)</f>
        <v>#N/A</v>
      </c>
      <c r="AB71" s="31">
        <v>2</v>
      </c>
      <c r="AD71" s="32"/>
      <c r="AE71" s="17"/>
      <c r="AF71" s="17"/>
      <c r="AG71" s="17"/>
      <c r="AH71" s="17"/>
      <c r="AI71" s="17"/>
      <c r="AJ71" s="17"/>
      <c r="AK71" s="17"/>
      <c r="AL71" s="17"/>
      <c r="AM71" s="17"/>
    </row>
    <row r="72" s="11" customFormat="1" ht="29.25" customHeight="1">
      <c r="A72" s="53">
        <f>A41</f>
        <v>0.52083333333333337</v>
      </c>
      <c r="B72" s="34"/>
      <c r="C72" s="54"/>
      <c r="D72" s="55"/>
      <c r="E72" s="56"/>
      <c r="F72" s="57"/>
      <c r="G72" s="58"/>
      <c r="H72" s="40"/>
      <c r="I72" s="59"/>
      <c r="J72" s="60"/>
      <c r="K72" s="59"/>
      <c r="L72" s="60"/>
      <c r="M72" s="61"/>
      <c r="N72" s="62"/>
      <c r="O72" s="63" t="s">
        <v>146</v>
      </c>
      <c r="P72" s="64" t="s">
        <v>147</v>
      </c>
      <c r="Q72" s="65" t="s">
        <v>146</v>
      </c>
      <c r="R72" s="66" t="s">
        <v>147</v>
      </c>
      <c r="S72" s="64" t="s">
        <v>146</v>
      </c>
      <c r="T72" s="67" t="s">
        <v>147</v>
      </c>
      <c r="V72" s="68"/>
      <c r="W72" s="69"/>
      <c r="Y72" s="30">
        <v>3</v>
      </c>
      <c r="Z72" s="31" t="e">
        <f>VLOOKUP(CONCATENATE($D67," ",Y72),Setzlisten!$A:$E,5,0)</f>
        <v>#N/A</v>
      </c>
      <c r="AA72" s="30" t="e">
        <f>VLOOKUP(CONCATENATE($D69," ",Y72),Setzlisten!$A:$E,5,0)</f>
        <v>#N/A</v>
      </c>
      <c r="AB72" s="31">
        <v>3</v>
      </c>
      <c r="AD72" s="32"/>
      <c r="AE72" s="17"/>
      <c r="AF72" s="17"/>
      <c r="AG72" s="17"/>
      <c r="AH72" s="17"/>
      <c r="AI72" s="17"/>
      <c r="AJ72" s="17"/>
      <c r="AK72" s="17"/>
      <c r="AL72" s="17"/>
      <c r="AM72" s="17"/>
    </row>
    <row r="73" s="70" customFormat="1" ht="9">
      <c r="V73" s="30"/>
      <c r="W73" s="31"/>
      <c r="Y73" s="30">
        <v>4</v>
      </c>
      <c r="Z73" s="31" t="e">
        <f>VLOOKUP(CONCATENATE($D67," ",Y73),Setzlisten!$A:$E,5,0)</f>
        <v>#N/A</v>
      </c>
      <c r="AA73" s="30" t="e">
        <f>VLOOKUP(CONCATENATE($D69," ",Y73),Setzlisten!$A:$E,5,0)</f>
        <v>#N/A</v>
      </c>
      <c r="AB73" s="31">
        <v>4</v>
      </c>
      <c r="AD73" s="32"/>
    </row>
    <row r="74" s="11" customFormat="1" ht="24" customHeight="1">
      <c r="A74" s="71" t="s">
        <v>148</v>
      </c>
      <c r="C74" s="72">
        <f>IF(D74="",0,VLOOKUP(D74,$Z70:$AB84,3,0))</f>
        <v>0</v>
      </c>
      <c r="D74" s="73"/>
      <c r="E74" s="74"/>
      <c r="F74" s="75">
        <f>IF(G74="",0,VLOOKUP(G74,$AA70:$AB84,2,0))</f>
        <v>0</v>
      </c>
      <c r="G74" s="76"/>
      <c r="H74" s="148"/>
      <c r="I74" s="77"/>
      <c r="J74" s="78"/>
      <c r="K74" s="77"/>
      <c r="L74" s="78"/>
      <c r="M74" s="77"/>
      <c r="N74" s="79"/>
      <c r="O74" s="80" t="str">
        <f>IF(I74="","",SUM(I74,K74,M74))</f>
        <v/>
      </c>
      <c r="P74" s="81" t="str">
        <f>IF(J74="","",SUM(J74,L74,N74))</f>
        <v/>
      </c>
      <c r="Q74" s="82" t="str">
        <f>IF(I74="","",IF(I74&gt;J74,1,0)+IF(K74&gt;L74,1,0)+IF(M74="",0,IF(M74&gt;N74,1,0)))</f>
        <v/>
      </c>
      <c r="R74" s="83" t="str">
        <f>IF(I74="","",IF(J74&gt;I74,1,0)+IF(L74&gt;K74,1,0)+IF(M74="",0,IF(N74&gt;M74,1,0)))</f>
        <v/>
      </c>
      <c r="S74" s="84" t="str">
        <f>IF(I74="","",IF(Q74&gt;R74,1,0))</f>
        <v/>
      </c>
      <c r="T74" s="85" t="str">
        <f>IF(I74="","",IF(R74&gt;Q74,1,0))</f>
        <v/>
      </c>
      <c r="V74" s="86">
        <f>C74+C75</f>
        <v>0</v>
      </c>
      <c r="W74" s="87">
        <f>F74+F75</f>
        <v>0</v>
      </c>
      <c r="Y74" s="30">
        <v>5</v>
      </c>
      <c r="Z74" s="31" t="e">
        <f>VLOOKUP(CONCATENATE($D67," ",Y74),Setzlisten!$A:$E,5,0)</f>
        <v>#N/A</v>
      </c>
      <c r="AA74" s="30" t="e">
        <f>VLOOKUP(CONCATENATE($D69," ",Y74),Setzlisten!$A:$E,5,0)</f>
        <v>#N/A</v>
      </c>
      <c r="AB74" s="31">
        <v>5</v>
      </c>
      <c r="AD74" s="32"/>
    </row>
    <row r="75" s="11" customFormat="1" ht="24" customHeight="1">
      <c r="A75" s="88"/>
      <c r="C75" s="89">
        <f>IF(D75="",0,VLOOKUP(D75,$Z70:$AB84,3,0))</f>
        <v>0</v>
      </c>
      <c r="D75" s="90"/>
      <c r="E75" s="91"/>
      <c r="F75" s="92">
        <f>IF(G75="",0,VLOOKUP(G75,$AA70:$AB84,2,0))</f>
        <v>0</v>
      </c>
      <c r="G75" s="93"/>
      <c r="H75" s="148"/>
      <c r="I75" s="77"/>
      <c r="J75" s="78"/>
      <c r="K75" s="77"/>
      <c r="L75" s="78"/>
      <c r="M75" s="77"/>
      <c r="N75" s="79"/>
      <c r="O75" s="92"/>
      <c r="P75" s="94"/>
      <c r="Q75" s="89"/>
      <c r="R75" s="95"/>
      <c r="S75" s="96"/>
      <c r="T75" s="97"/>
      <c r="V75" s="98"/>
      <c r="W75" s="99"/>
      <c r="Y75" s="30">
        <v>6</v>
      </c>
      <c r="Z75" s="31" t="e">
        <f>VLOOKUP(CONCATENATE($D67," ",Y75),Setzlisten!$A:$E,5,0)</f>
        <v>#N/A</v>
      </c>
      <c r="AA75" s="30" t="e">
        <f>VLOOKUP(CONCATENATE($D69," ",Y75),Setzlisten!$A:$E,5,0)</f>
        <v>#N/A</v>
      </c>
      <c r="AB75" s="31">
        <v>6</v>
      </c>
      <c r="AD75" s="32"/>
    </row>
    <row r="76" s="11" customFormat="1" ht="24" customHeight="1">
      <c r="A76" s="71" t="s">
        <v>149</v>
      </c>
      <c r="C76" s="72">
        <f>IF(D76="",0,VLOOKUP(D76,$Z70:$AB84,3,0))</f>
        <v>0</v>
      </c>
      <c r="D76" s="73"/>
      <c r="E76" s="74"/>
      <c r="F76" s="75">
        <f>IF(G76="",0,VLOOKUP(G76,$AA70:$AB84,2,0))</f>
        <v>0</v>
      </c>
      <c r="G76" s="76"/>
      <c r="H76" s="148"/>
      <c r="I76" s="77"/>
      <c r="J76" s="100"/>
      <c r="K76" s="77"/>
      <c r="L76" s="78"/>
      <c r="M76" s="77"/>
      <c r="N76" s="79"/>
      <c r="O76" s="80" t="str">
        <f>IF(I76="","",SUM(I76,K76,M76))</f>
        <v/>
      </c>
      <c r="P76" s="81" t="str">
        <f t="shared" ref="P76:P81" si="83">IF(J76="","",SUM(J76,L76,N76))</f>
        <v/>
      </c>
      <c r="Q76" s="82" t="str">
        <f t="shared" ref="Q76:Q81" si="84">IF(I76="","",IF(I76&gt;J76,1,0)+IF(K76&gt;L76,1,0)+IF(M76="",0,IF(M76&gt;N76,1,0)))</f>
        <v/>
      </c>
      <c r="R76" s="83" t="str">
        <f t="shared" ref="R76:R81" si="85">IF(I76="","",IF(J76&gt;I76,1,0)+IF(L76&gt;K76,1,0)+IF(M76="",0,IF(N76&gt;M76,1,0)))</f>
        <v/>
      </c>
      <c r="S76" s="84" t="str">
        <f t="shared" ref="S76:S81" si="86">IF(I76="","",IF(Q76&gt;R76,1,0))</f>
        <v/>
      </c>
      <c r="T76" s="85" t="str">
        <f t="shared" ref="T76:T81" si="87">IF(I76="","",IF(R76&gt;Q76,1,0))</f>
        <v/>
      </c>
      <c r="V76" s="98">
        <f>C76+C77</f>
        <v>0</v>
      </c>
      <c r="W76" s="99">
        <f>F76+F77</f>
        <v>0</v>
      </c>
      <c r="Y76" s="30">
        <v>7</v>
      </c>
      <c r="Z76" s="31" t="e">
        <f>VLOOKUP(CONCATENATE($D67," ",Y76),Setzlisten!$A:$E,5,0)</f>
        <v>#N/A</v>
      </c>
      <c r="AA76" s="30" t="e">
        <f>VLOOKUP(CONCATENATE($D69," ",Y76),Setzlisten!$A:$E,5,0)</f>
        <v>#N/A</v>
      </c>
      <c r="AB76" s="31">
        <v>7</v>
      </c>
      <c r="AD76" s="101" t="s">
        <v>150</v>
      </c>
    </row>
    <row r="77" s="11" customFormat="1" ht="24" customHeight="1">
      <c r="A77" s="88"/>
      <c r="C77" s="89">
        <f>IF(D77="",0,VLOOKUP(D77,$Z70:$AB84,3,0))</f>
        <v>0</v>
      </c>
      <c r="D77" s="90"/>
      <c r="E77" s="91"/>
      <c r="F77" s="92">
        <f>IF(G77="",0,VLOOKUP(G77,$AA70:$AB84,2,0))</f>
        <v>0</v>
      </c>
      <c r="G77" s="93"/>
      <c r="H77" s="148"/>
      <c r="I77" s="77"/>
      <c r="J77" s="78"/>
      <c r="K77" s="77"/>
      <c r="L77" s="78"/>
      <c r="M77" s="77"/>
      <c r="N77" s="79"/>
      <c r="O77" s="92"/>
      <c r="P77" s="94"/>
      <c r="Q77" s="89"/>
      <c r="R77" s="95"/>
      <c r="S77" s="96"/>
      <c r="T77" s="97"/>
      <c r="V77" s="98"/>
      <c r="W77" s="99"/>
      <c r="Y77" s="30">
        <v>8</v>
      </c>
      <c r="Z77" s="31" t="e">
        <f>VLOOKUP(CONCATENATE($D67," ",Y77),Setzlisten!$A:$E,5,0)</f>
        <v>#N/A</v>
      </c>
      <c r="AA77" s="30" t="e">
        <f>VLOOKUP(CONCATENATE($D69," ",Y77),Setzlisten!$A:$E,5,0)</f>
        <v>#N/A</v>
      </c>
      <c r="AB77" s="31">
        <v>8</v>
      </c>
      <c r="AD77" s="101"/>
    </row>
    <row r="78" s="11" customFormat="1" ht="24" customHeight="1">
      <c r="A78" s="71" t="s">
        <v>151</v>
      </c>
      <c r="C78" s="72">
        <f>IF(D78="",0,VLOOKUP(D78,$Z70:$AB84,3,0))</f>
        <v>0</v>
      </c>
      <c r="D78" s="73"/>
      <c r="E78" s="74"/>
      <c r="F78" s="75">
        <f>IF(G78="",0,VLOOKUP(G78,$AA70:$AB84,2,0))</f>
        <v>0</v>
      </c>
      <c r="G78" s="76"/>
      <c r="H78" s="148"/>
      <c r="I78" s="77"/>
      <c r="J78" s="78"/>
      <c r="K78" s="77"/>
      <c r="L78" s="78"/>
      <c r="M78" s="77"/>
      <c r="N78" s="79"/>
      <c r="O78" s="80" t="str">
        <f>IF(I78="","",SUM(I78,K78,M78))</f>
        <v/>
      </c>
      <c r="P78" s="81" t="str">
        <f t="shared" si="83"/>
        <v/>
      </c>
      <c r="Q78" s="82" t="str">
        <f t="shared" si="84"/>
        <v/>
      </c>
      <c r="R78" s="83" t="str">
        <f t="shared" si="85"/>
        <v/>
      </c>
      <c r="S78" s="84" t="str">
        <f t="shared" si="86"/>
        <v/>
      </c>
      <c r="T78" s="85" t="str">
        <f t="shared" si="87"/>
        <v/>
      </c>
      <c r="V78" s="98">
        <f>C78+C79</f>
        <v>0</v>
      </c>
      <c r="W78" s="99">
        <f>F78+F79</f>
        <v>0</v>
      </c>
      <c r="Y78" s="30">
        <v>9</v>
      </c>
      <c r="Z78" s="31" t="e">
        <f>VLOOKUP(CONCATENATE($D67," ",Y78),Setzlisten!$A:$E,5,0)</f>
        <v>#N/A</v>
      </c>
      <c r="AA78" s="30" t="e">
        <f>VLOOKUP(CONCATENATE($D69," ",Y78),Setzlisten!$A:$E,5,0)</f>
        <v>#N/A</v>
      </c>
      <c r="AB78" s="31">
        <v>9</v>
      </c>
      <c r="AD78" s="32"/>
    </row>
    <row r="79" s="11" customFormat="1" ht="24" customHeight="1">
      <c r="A79" s="88"/>
      <c r="C79" s="89">
        <f>IF(D79="",0,VLOOKUP(D79,$Z70:$AB84,3,0))</f>
        <v>0</v>
      </c>
      <c r="D79" s="90"/>
      <c r="E79" s="91"/>
      <c r="F79" s="92">
        <f>IF(G79="",0,VLOOKUP(G79,$AA70:$AB84,2,0))</f>
        <v>0</v>
      </c>
      <c r="G79" s="93"/>
      <c r="H79" s="148"/>
      <c r="I79" s="77"/>
      <c r="J79" s="78"/>
      <c r="K79" s="77"/>
      <c r="L79" s="78"/>
      <c r="M79" s="77"/>
      <c r="N79" s="79"/>
      <c r="O79" s="92"/>
      <c r="P79" s="94"/>
      <c r="Q79" s="89"/>
      <c r="R79" s="95"/>
      <c r="S79" s="96"/>
      <c r="T79" s="97"/>
      <c r="V79" s="102"/>
      <c r="W79" s="103"/>
      <c r="Y79" s="30">
        <v>10</v>
      </c>
      <c r="Z79" s="31" t="e">
        <f>VLOOKUP(CONCATENATE($D67," ",Y79),Setzlisten!$A:$E,5,0)</f>
        <v>#N/A</v>
      </c>
      <c r="AA79" s="30" t="e">
        <f>VLOOKUP(CONCATENATE($D69," ",Y79),Setzlisten!$A:$E,5,0)</f>
        <v>#N/A</v>
      </c>
      <c r="AB79" s="31">
        <v>10</v>
      </c>
      <c r="AD79" s="32"/>
    </row>
    <row r="80" s="11" customFormat="1" ht="30" customHeight="1">
      <c r="A80" s="71" t="s">
        <v>152</v>
      </c>
      <c r="B80" s="104"/>
      <c r="C80" s="105">
        <f>IF(D80="",0,VLOOKUP(D80,$Z70:$AB84,3,0))</f>
        <v>0</v>
      </c>
      <c r="D80" s="106"/>
      <c r="E80" s="107"/>
      <c r="F80" s="108">
        <f>IF(G80="",0,VLOOKUP(G80,$AA70:$AB84,2,0))</f>
        <v>0</v>
      </c>
      <c r="G80" s="109"/>
      <c r="H80" s="148"/>
      <c r="I80" s="77"/>
      <c r="J80" s="78"/>
      <c r="K80" s="77"/>
      <c r="L80" s="78"/>
      <c r="M80" s="77"/>
      <c r="N80" s="79"/>
      <c r="O80" s="149" t="str">
        <f t="shared" ref="O80:O81" si="88">IF(I80="","",SUM(I80,K80,M80))</f>
        <v/>
      </c>
      <c r="P80" s="150" t="str">
        <f t="shared" si="83"/>
        <v/>
      </c>
      <c r="Q80" s="151" t="str">
        <f t="shared" si="84"/>
        <v/>
      </c>
      <c r="R80" s="152" t="str">
        <f t="shared" si="85"/>
        <v/>
      </c>
      <c r="S80" s="153" t="str">
        <f t="shared" si="86"/>
        <v/>
      </c>
      <c r="T80" s="154" t="str">
        <f t="shared" si="87"/>
        <v/>
      </c>
      <c r="V80" s="98">
        <f t="shared" ref="V80:V81" si="89">C80</f>
        <v>0</v>
      </c>
      <c r="W80" s="99">
        <f t="shared" ref="W80:W81" si="90">F80</f>
        <v>0</v>
      </c>
      <c r="Y80" s="30">
        <v>11</v>
      </c>
      <c r="Z80" s="31" t="e">
        <f>VLOOKUP(CONCATENATE($D67," ",Y80),Setzlisten!$A:$E,5,0)</f>
        <v>#N/A</v>
      </c>
      <c r="AA80" s="30" t="e">
        <f>VLOOKUP(CONCATENATE($D69," ",Y80),Setzlisten!$A:$E,5,0)</f>
        <v>#N/A</v>
      </c>
      <c r="AB80" s="31">
        <v>11</v>
      </c>
      <c r="AD80" s="32"/>
    </row>
    <row r="81" s="11" customFormat="1" ht="30" customHeight="1">
      <c r="A81" s="71" t="s">
        <v>153</v>
      </c>
      <c r="B81" s="104"/>
      <c r="C81" s="105">
        <f>IF(D81="",0,VLOOKUP(D81,$Z70:$AB84,3,0))</f>
        <v>0</v>
      </c>
      <c r="D81" s="106"/>
      <c r="E81" s="107"/>
      <c r="F81" s="108">
        <f>IF(G81="",0,VLOOKUP(G81,$AA70:$AB84,2,0))</f>
        <v>0</v>
      </c>
      <c r="G81" s="109"/>
      <c r="H81" s="148"/>
      <c r="I81" s="77"/>
      <c r="J81" s="78"/>
      <c r="K81" s="77"/>
      <c r="L81" s="78"/>
      <c r="M81" s="77"/>
      <c r="N81" s="79"/>
      <c r="O81" s="149" t="str">
        <f t="shared" si="88"/>
        <v/>
      </c>
      <c r="P81" s="150" t="str">
        <f t="shared" si="83"/>
        <v/>
      </c>
      <c r="Q81" s="151" t="str">
        <f t="shared" si="84"/>
        <v/>
      </c>
      <c r="R81" s="152" t="str">
        <f t="shared" si="85"/>
        <v/>
      </c>
      <c r="S81" s="153" t="str">
        <f t="shared" si="86"/>
        <v/>
      </c>
      <c r="T81" s="154" t="str">
        <f t="shared" si="87"/>
        <v/>
      </c>
      <c r="V81" s="102">
        <f t="shared" si="89"/>
        <v>0</v>
      </c>
      <c r="W81" s="103">
        <f t="shared" si="90"/>
        <v>0</v>
      </c>
      <c r="Y81" s="30">
        <v>12</v>
      </c>
      <c r="Z81" s="31" t="e">
        <f>VLOOKUP(CONCATENATE($D67," ",Y81),Setzlisten!$A:$E,5,0)</f>
        <v>#N/A</v>
      </c>
      <c r="AA81" s="30" t="e">
        <f>VLOOKUP(CONCATENATE($D69," ",Y81),Setzlisten!$A:$E,5,0)</f>
        <v>#N/A</v>
      </c>
      <c r="AB81" s="31">
        <v>12</v>
      </c>
      <c r="AD81" s="32"/>
    </row>
    <row r="82" s="70" customFormat="1" ht="9">
      <c r="Y82" s="30">
        <v>13</v>
      </c>
      <c r="Z82" s="31" t="e">
        <f>VLOOKUP(CONCATENATE($D67," ",Y82),Setzlisten!$A:$E,5,0)</f>
        <v>#N/A</v>
      </c>
      <c r="AA82" s="30" t="e">
        <f>VLOOKUP(CONCATENATE($D69," ",Y82),Setzlisten!$A:$E,5,0)</f>
        <v>#N/A</v>
      </c>
      <c r="AB82" s="31">
        <v>13</v>
      </c>
      <c r="AD82" s="32"/>
    </row>
    <row r="83" s="11" customFormat="1" ht="15.75">
      <c r="A83" s="114" t="s">
        <v>154</v>
      </c>
      <c r="B83" s="34"/>
      <c r="C83" s="115" t="s">
        <v>155</v>
      </c>
      <c r="D83" s="116"/>
      <c r="E83" s="117" t="str">
        <f>IF(S83="","",IF(S83&gt;T83,D67,D69))</f>
        <v/>
      </c>
      <c r="F83" s="118"/>
      <c r="G83" s="119"/>
      <c r="I83" s="115" t="s">
        <v>156</v>
      </c>
      <c r="J83" s="120"/>
      <c r="K83" s="120"/>
      <c r="L83" s="120"/>
      <c r="M83" s="120"/>
      <c r="N83" s="116"/>
      <c r="O83" s="82" t="str">
        <f t="shared" ref="O83:T83" si="91">IF(O74="","",SUM(O74:O81))</f>
        <v/>
      </c>
      <c r="P83" s="121" t="str">
        <f t="shared" si="91"/>
        <v/>
      </c>
      <c r="Q83" s="82" t="str">
        <f t="shared" si="91"/>
        <v/>
      </c>
      <c r="R83" s="121" t="str">
        <f t="shared" si="91"/>
        <v/>
      </c>
      <c r="S83" s="82" t="str">
        <f t="shared" si="91"/>
        <v/>
      </c>
      <c r="T83" s="122" t="str">
        <f t="shared" si="91"/>
        <v/>
      </c>
      <c r="Y83" s="30">
        <v>14</v>
      </c>
      <c r="Z83" s="31" t="e">
        <f>VLOOKUP(CONCATENATE($D67," ",Y83),Setzlisten!$A:$E,5,0)</f>
        <v>#N/A</v>
      </c>
      <c r="AA83" s="30" t="e">
        <f>VLOOKUP(CONCATENATE($D69," ",Y83),Setzlisten!$A:$E,5,0)</f>
        <v>#N/A</v>
      </c>
      <c r="AB83" s="31">
        <v>14</v>
      </c>
      <c r="AD83" s="32"/>
    </row>
    <row r="84" s="11" customFormat="1" ht="23.25">
      <c r="A84" s="53">
        <f>A53</f>
        <v>0.58333333333333337</v>
      </c>
      <c r="B84" s="34"/>
      <c r="C84" s="123"/>
      <c r="D84" s="124"/>
      <c r="E84" s="125"/>
      <c r="F84" s="126"/>
      <c r="G84" s="127"/>
      <c r="I84" s="123"/>
      <c r="J84" s="128"/>
      <c r="K84" s="128"/>
      <c r="L84" s="128"/>
      <c r="M84" s="128"/>
      <c r="N84" s="124"/>
      <c r="O84" s="129"/>
      <c r="P84" s="130"/>
      <c r="Q84" s="129"/>
      <c r="R84" s="130"/>
      <c r="S84" s="129"/>
      <c r="T84" s="131"/>
      <c r="Y84" s="132">
        <v>15</v>
      </c>
      <c r="Z84" s="133" t="e">
        <f>VLOOKUP(CONCATENATE($D67," ",Y84),Setzlisten!$A:$E,5,0)</f>
        <v>#N/A</v>
      </c>
      <c r="AA84" s="132" t="e">
        <f>VLOOKUP(CONCATENATE($D69," ",Y84),Setzlisten!$A:$E,5,0)</f>
        <v>#N/A</v>
      </c>
      <c r="AB84" s="133">
        <v>15</v>
      </c>
    </row>
    <row r="85" s="11" customFormat="1" ht="15" customHeight="1">
      <c r="A85" s="15"/>
    </row>
    <row r="86" s="11" customFormat="1" ht="30" customHeight="1">
      <c r="B86" s="21"/>
      <c r="C86" s="21"/>
      <c r="D86" s="134" t="s">
        <v>157</v>
      </c>
      <c r="E86" s="134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</row>
    <row r="87" s="11" customFormat="1">
      <c r="A87" s="14"/>
      <c r="P87" s="136"/>
      <c r="Q87" s="136"/>
      <c r="R87" s="136"/>
      <c r="S87" s="136"/>
      <c r="T87" s="136"/>
    </row>
    <row r="88" s="11" customFormat="1" ht="30" customHeight="1">
      <c r="A88" s="137" t="s">
        <v>158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</row>
    <row r="89" s="11" customFormat="1" ht="36" customHeight="1">
      <c r="A89" s="139" t="str">
        <f>Allgemeines!$B$3</f>
        <v>Hamburg</v>
      </c>
      <c r="B89" s="139"/>
      <c r="C89" s="139"/>
      <c r="D89" s="139"/>
      <c r="E89" s="140">
        <f>Allgemeines!$B$4</f>
        <v>46023</v>
      </c>
      <c r="G89" s="141"/>
      <c r="J89" s="141"/>
      <c r="K89" s="141"/>
      <c r="L89" s="141"/>
      <c r="M89" s="141"/>
      <c r="N89" s="141"/>
      <c r="P89" s="141"/>
      <c r="Q89" s="141"/>
      <c r="R89" s="141"/>
      <c r="S89" s="141"/>
      <c r="T89" s="141"/>
    </row>
    <row r="90" s="11" customFormat="1">
      <c r="A90" s="142"/>
      <c r="B90" s="142"/>
      <c r="C90" s="142"/>
      <c r="D90" s="142"/>
      <c r="E90" s="143"/>
      <c r="G90" s="144"/>
      <c r="J90" s="144"/>
      <c r="K90" s="144"/>
      <c r="L90" s="144"/>
      <c r="M90" s="144"/>
      <c r="N90" s="144"/>
      <c r="P90" s="144"/>
      <c r="Q90" s="144"/>
      <c r="R90" s="144"/>
      <c r="S90" s="144"/>
      <c r="T90" s="144"/>
    </row>
    <row r="91" s="11" customFormat="1" ht="15.75">
      <c r="A91" s="145" t="s">
        <v>159</v>
      </c>
      <c r="B91" s="145"/>
      <c r="C91" s="145"/>
      <c r="D91" s="145"/>
      <c r="E91" s="145" t="s">
        <v>160</v>
      </c>
      <c r="F91" s="40"/>
      <c r="G91" s="145" t="s">
        <v>2</v>
      </c>
      <c r="H91" s="40"/>
      <c r="I91" s="40"/>
      <c r="J91" s="146" t="s">
        <v>161</v>
      </c>
      <c r="K91" s="146"/>
      <c r="L91" s="146"/>
      <c r="M91" s="146"/>
      <c r="N91" s="146"/>
      <c r="O91" s="40"/>
      <c r="P91" s="146" t="s">
        <v>162</v>
      </c>
      <c r="Q91" s="146"/>
      <c r="R91" s="146"/>
      <c r="S91" s="146"/>
      <c r="T91" s="146"/>
    </row>
    <row r="92">
      <c r="G92" s="147" t="s">
        <v>163</v>
      </c>
      <c r="J92" s="147" t="s">
        <v>164</v>
      </c>
      <c r="K92" s="147"/>
      <c r="L92" s="147"/>
      <c r="M92" s="147"/>
      <c r="N92" s="147"/>
      <c r="P92" s="147" t="s">
        <v>165</v>
      </c>
      <c r="Q92" s="147"/>
      <c r="R92" s="147"/>
      <c r="S92" s="147"/>
      <c r="T92" s="147"/>
    </row>
    <row r="93">
      <c r="G93" s="141" t="str">
        <f>Allgemeines!$D$2</f>
        <v xml:space="preserve">George Washington</v>
      </c>
      <c r="J93" s="141" t="str">
        <f>IF(D67="","",VLOOKUP(D67,Allgemeines!$B$7:$D$12,3,0))</f>
        <v/>
      </c>
      <c r="K93" s="141"/>
      <c r="L93" s="141"/>
      <c r="M93" s="141"/>
      <c r="N93" s="141"/>
      <c r="P93" s="141" t="str">
        <f>IF(D69="","",VLOOKUP(D69,Allgemeines!$B$7:$D$12,3,0))</f>
        <v/>
      </c>
      <c r="Q93" s="141"/>
      <c r="R93" s="141"/>
      <c r="S93" s="141"/>
      <c r="T93" s="141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97">
    <mergeCell ref="F1:N3"/>
    <mergeCell ref="A5:C5"/>
    <mergeCell ref="D5:H5"/>
    <mergeCell ref="A7:C7"/>
    <mergeCell ref="D7:H7"/>
    <mergeCell ref="J7:L7"/>
    <mergeCell ref="AD8:AD13"/>
    <mergeCell ref="C9:C10"/>
    <mergeCell ref="D9:E10"/>
    <mergeCell ref="F9:F10"/>
    <mergeCell ref="G9:G10"/>
    <mergeCell ref="I9:J10"/>
    <mergeCell ref="K9:L10"/>
    <mergeCell ref="M9:N10"/>
    <mergeCell ref="O9:P9"/>
    <mergeCell ref="Q9:R9"/>
    <mergeCell ref="S9:T9"/>
    <mergeCell ref="V9:V10"/>
    <mergeCell ref="W9:W10"/>
    <mergeCell ref="A12:A13"/>
    <mergeCell ref="D12:E12"/>
    <mergeCell ref="I12:I13"/>
    <mergeCell ref="J12:J13"/>
    <mergeCell ref="K12:K13"/>
    <mergeCell ref="L12:L13"/>
    <mergeCell ref="M12:M13"/>
    <mergeCell ref="T12:T13"/>
    <mergeCell ref="V12:V13"/>
    <mergeCell ref="W12:W13"/>
    <mergeCell ref="D13:E13"/>
    <mergeCell ref="A14:A15"/>
    <mergeCell ref="D14:E14"/>
    <mergeCell ref="I14:I15"/>
    <mergeCell ref="J14:J15"/>
    <mergeCell ref="K14:K15"/>
    <mergeCell ref="L14:L15"/>
    <mergeCell ref="N12:N13"/>
    <mergeCell ref="O12:O13"/>
    <mergeCell ref="P12:P13"/>
    <mergeCell ref="Q12:Q13"/>
    <mergeCell ref="R12:R13"/>
    <mergeCell ref="S12:S13"/>
    <mergeCell ref="W14:W15"/>
    <mergeCell ref="AD14:AD15"/>
    <mergeCell ref="D15:E15"/>
    <mergeCell ref="M14:M15"/>
    <mergeCell ref="N14:N15"/>
    <mergeCell ref="O14:O15"/>
    <mergeCell ref="P14:P15"/>
    <mergeCell ref="Q14:Q15"/>
    <mergeCell ref="R14:R15"/>
    <mergeCell ref="A16:A17"/>
    <mergeCell ref="D16:E16"/>
    <mergeCell ref="I16:I17"/>
    <mergeCell ref="J16:J17"/>
    <mergeCell ref="K16:K17"/>
    <mergeCell ref="L16:L17"/>
    <mergeCell ref="S14:S15"/>
    <mergeCell ref="T14:T15"/>
    <mergeCell ref="V14:V15"/>
    <mergeCell ref="S16:S17"/>
    <mergeCell ref="T16:T17"/>
    <mergeCell ref="V16:V17"/>
    <mergeCell ref="W16:W17"/>
    <mergeCell ref="AD16:AD21"/>
    <mergeCell ref="D17:E17"/>
    <mergeCell ref="D18:E18"/>
    <mergeCell ref="D19:E19"/>
    <mergeCell ref="C21:D22"/>
    <mergeCell ref="E21:G22"/>
    <mergeCell ref="M16:M17"/>
    <mergeCell ref="N16:N17"/>
    <mergeCell ref="O16:O17"/>
    <mergeCell ref="P16:P17"/>
    <mergeCell ref="Q16:Q17"/>
    <mergeCell ref="R16:R17"/>
    <mergeCell ref="T21:T22"/>
    <mergeCell ref="D24:E24"/>
    <mergeCell ref="F24:T24"/>
    <mergeCell ref="P25:T25"/>
    <mergeCell ref="A26:T26"/>
    <mergeCell ref="A27:D28"/>
    <mergeCell ref="E27:E28"/>
    <mergeCell ref="G27:G28"/>
    <mergeCell ref="J27:N28"/>
    <mergeCell ref="P27:T28"/>
    <mergeCell ref="I21:N22"/>
    <mergeCell ref="O21:O22"/>
    <mergeCell ref="P21:P22"/>
    <mergeCell ref="Q21:Q22"/>
    <mergeCell ref="R21:R22"/>
    <mergeCell ref="S21:S22"/>
    <mergeCell ref="F32:N34"/>
    <mergeCell ref="A36:C36"/>
    <mergeCell ref="D36:H36"/>
    <mergeCell ref="A38:C38"/>
    <mergeCell ref="D38:H38"/>
    <mergeCell ref="J38:L38"/>
    <mergeCell ref="A29:D29"/>
    <mergeCell ref="J29:N29"/>
    <mergeCell ref="P29:T29"/>
    <mergeCell ref="J30:N30"/>
    <mergeCell ref="P30:T30"/>
    <mergeCell ref="J31:N31"/>
    <mergeCell ref="P31:T31"/>
    <mergeCell ref="AD39:AD44"/>
    <mergeCell ref="C40:C41"/>
    <mergeCell ref="D40:E41"/>
    <mergeCell ref="F40:F41"/>
    <mergeCell ref="G40:G41"/>
    <mergeCell ref="I40:J41"/>
    <mergeCell ref="K40:L41"/>
    <mergeCell ref="M40:N41"/>
    <mergeCell ref="O40:P40"/>
    <mergeCell ref="Q40:R40"/>
    <mergeCell ref="S40:T40"/>
    <mergeCell ref="V40:V41"/>
    <mergeCell ref="W40:W41"/>
    <mergeCell ref="A43:A44"/>
    <mergeCell ref="D43:E43"/>
    <mergeCell ref="I43:I44"/>
    <mergeCell ref="J43:J44"/>
    <mergeCell ref="K43:K44"/>
    <mergeCell ref="L43:L44"/>
    <mergeCell ref="M43:M44"/>
    <mergeCell ref="T43:T44"/>
    <mergeCell ref="V43:V44"/>
    <mergeCell ref="W43:W44"/>
    <mergeCell ref="D44:E44"/>
    <mergeCell ref="A45:A46"/>
    <mergeCell ref="D45:E45"/>
    <mergeCell ref="I45:I46"/>
    <mergeCell ref="J45:J46"/>
    <mergeCell ref="K45:K46"/>
    <mergeCell ref="L45:L46"/>
    <mergeCell ref="N43:N44"/>
    <mergeCell ref="O43:O44"/>
    <mergeCell ref="P43:P44"/>
    <mergeCell ref="Q43:Q44"/>
    <mergeCell ref="R43:R44"/>
    <mergeCell ref="S43:S44"/>
    <mergeCell ref="W45:W46"/>
    <mergeCell ref="AD45:AD46"/>
    <mergeCell ref="D46:E46"/>
    <mergeCell ref="M45:M46"/>
    <mergeCell ref="N45:N46"/>
    <mergeCell ref="O45:O46"/>
    <mergeCell ref="P45:P46"/>
    <mergeCell ref="Q45:Q46"/>
    <mergeCell ref="R45:R46"/>
    <mergeCell ref="A47:A48"/>
    <mergeCell ref="D47:E47"/>
    <mergeCell ref="I47:I48"/>
    <mergeCell ref="J47:J48"/>
    <mergeCell ref="K47:K48"/>
    <mergeCell ref="L47:L48"/>
    <mergeCell ref="S45:S46"/>
    <mergeCell ref="T45:T46"/>
    <mergeCell ref="V45:V46"/>
    <mergeCell ref="S47:S48"/>
    <mergeCell ref="T47:T48"/>
    <mergeCell ref="V47:V48"/>
    <mergeCell ref="W47:W48"/>
    <mergeCell ref="AD47:AD52"/>
    <mergeCell ref="D48:E48"/>
    <mergeCell ref="D49:E49"/>
    <mergeCell ref="D50:E50"/>
    <mergeCell ref="C52:D53"/>
    <mergeCell ref="E52:G53"/>
    <mergeCell ref="M47:M48"/>
    <mergeCell ref="N47:N48"/>
    <mergeCell ref="O47:O48"/>
    <mergeCell ref="P47:P48"/>
    <mergeCell ref="Q47:Q48"/>
    <mergeCell ref="R47:R48"/>
    <mergeCell ref="T52:T53"/>
    <mergeCell ref="D55:E55"/>
    <mergeCell ref="F55:T55"/>
    <mergeCell ref="P56:T56"/>
    <mergeCell ref="A57:T57"/>
    <mergeCell ref="A58:D59"/>
    <mergeCell ref="E58:E59"/>
    <mergeCell ref="G58:G59"/>
    <mergeCell ref="J58:N59"/>
    <mergeCell ref="P58:T59"/>
    <mergeCell ref="I52:N53"/>
    <mergeCell ref="O52:O53"/>
    <mergeCell ref="P52:P53"/>
    <mergeCell ref="Q52:Q53"/>
    <mergeCell ref="R52:R53"/>
    <mergeCell ref="S52:S53"/>
    <mergeCell ref="F63:N65"/>
    <mergeCell ref="A67:C67"/>
    <mergeCell ref="D67:H67"/>
    <mergeCell ref="A69:C69"/>
    <mergeCell ref="D69:H69"/>
    <mergeCell ref="J69:L69"/>
    <mergeCell ref="A60:D60"/>
    <mergeCell ref="J60:N60"/>
    <mergeCell ref="P60:T60"/>
    <mergeCell ref="J61:N61"/>
    <mergeCell ref="P61:T61"/>
    <mergeCell ref="J62:N62"/>
    <mergeCell ref="P62:T62"/>
    <mergeCell ref="AD70:AD75"/>
    <mergeCell ref="C71:C72"/>
    <mergeCell ref="D71:E72"/>
    <mergeCell ref="F71:F72"/>
    <mergeCell ref="G71:G72"/>
    <mergeCell ref="I71:J72"/>
    <mergeCell ref="K71:L72"/>
    <mergeCell ref="M71:N72"/>
    <mergeCell ref="O71:P71"/>
    <mergeCell ref="Q71:R71"/>
    <mergeCell ref="S71:T71"/>
    <mergeCell ref="V71:V72"/>
    <mergeCell ref="W71:W72"/>
    <mergeCell ref="A74:A75"/>
    <mergeCell ref="D74:E74"/>
    <mergeCell ref="I74:I75"/>
    <mergeCell ref="J74:J75"/>
    <mergeCell ref="K74:K75"/>
    <mergeCell ref="L74:L75"/>
    <mergeCell ref="M74:M75"/>
    <mergeCell ref="T74:T75"/>
    <mergeCell ref="V74:V75"/>
    <mergeCell ref="W74:W75"/>
    <mergeCell ref="D75:E75"/>
    <mergeCell ref="A76:A77"/>
    <mergeCell ref="D76:E76"/>
    <mergeCell ref="I76:I77"/>
    <mergeCell ref="J76:J77"/>
    <mergeCell ref="K76:K77"/>
    <mergeCell ref="L76:L77"/>
    <mergeCell ref="N74:N75"/>
    <mergeCell ref="O74:O75"/>
    <mergeCell ref="P74:P75"/>
    <mergeCell ref="Q74:Q75"/>
    <mergeCell ref="R74:R75"/>
    <mergeCell ref="S74:S75"/>
    <mergeCell ref="W76:W77"/>
    <mergeCell ref="AD76:AD77"/>
    <mergeCell ref="D77:E77"/>
    <mergeCell ref="M76:M77"/>
    <mergeCell ref="N76:N77"/>
    <mergeCell ref="O76:O77"/>
    <mergeCell ref="P76:P77"/>
    <mergeCell ref="Q76:Q77"/>
    <mergeCell ref="R76:R77"/>
    <mergeCell ref="A78:A79"/>
    <mergeCell ref="D78:E78"/>
    <mergeCell ref="I78:I79"/>
    <mergeCell ref="J78:J79"/>
    <mergeCell ref="K78:K79"/>
    <mergeCell ref="L78:L79"/>
    <mergeCell ref="S76:S77"/>
    <mergeCell ref="T76:T77"/>
    <mergeCell ref="V76:V77"/>
    <mergeCell ref="S78:S79"/>
    <mergeCell ref="T78:T79"/>
    <mergeCell ref="V78:V79"/>
    <mergeCell ref="W78:W79"/>
    <mergeCell ref="AD78:AD83"/>
    <mergeCell ref="D79:E79"/>
    <mergeCell ref="D80:E80"/>
    <mergeCell ref="D81:E81"/>
    <mergeCell ref="C83:D84"/>
    <mergeCell ref="E83:G84"/>
    <mergeCell ref="M78:M79"/>
    <mergeCell ref="N78:N79"/>
    <mergeCell ref="O78:O79"/>
    <mergeCell ref="P78:P79"/>
    <mergeCell ref="Q78:Q79"/>
    <mergeCell ref="R78:R79"/>
    <mergeCell ref="A91:D91"/>
    <mergeCell ref="J91:N91"/>
    <mergeCell ref="P91:T91"/>
    <mergeCell ref="J92:N92"/>
    <mergeCell ref="P92:T92"/>
    <mergeCell ref="J93:N93"/>
    <mergeCell ref="P93:T93"/>
    <mergeCell ref="T83:T84"/>
    <mergeCell ref="D86:E86"/>
    <mergeCell ref="F86:T86"/>
    <mergeCell ref="P87:T87"/>
    <mergeCell ref="A88:T88"/>
    <mergeCell ref="A89:D90"/>
    <mergeCell ref="E89:E90"/>
    <mergeCell ref="G89:G90"/>
    <mergeCell ref="J89:N90"/>
    <mergeCell ref="P89:T90"/>
    <mergeCell ref="I83:N84"/>
    <mergeCell ref="O83:O84"/>
    <mergeCell ref="P83:P84"/>
    <mergeCell ref="Q83:Q84"/>
    <mergeCell ref="R83:R84"/>
    <mergeCell ref="S83:S84"/>
  </mergeCells>
  <dataValidations count="1" disablePrompts="0">
    <dataValidation sqref="D5:H5 D7:H7 D36:H36 D38:H38 D67:H67 D69:H69" type="list" allowBlank="1" errorStyle="stop" imeMode="noControl" operator="between" showDropDown="0" showErrorMessage="1" showInputMessage="1">
      <formula1>Allgemeines!$B$7:$B$12</formula1>
    </dataValidation>
  </dataValidations>
  <printOptions headings="0" gridLines="0"/>
  <pageMargins left="0.70866141732283472" right="0.70866141732283472" top="0.78740157480314954" bottom="0.78740157480314954" header="0.70866141732283472" footer="0.31496062992125984"/>
  <pageSetup paperSize="9" scale="74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&amp;R&amp;G</oddHeader>
  </headerFooter>
  <rowBreaks count="2" manualBreakCount="2">
    <brk id="31" man="1" max="19"/>
    <brk id="62" man="1" max="19"/>
  </rowBreaks>
  <legacyDrawingHF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00D200FF-0080-494F-B86E-00A6002700E7}">
            <xm:f>0</xm:f>
            <x14:dxf>
              <font>
                <color theme="0"/>
              </font>
            </x14:dxf>
          </x14:cfRule>
          <xm:sqref>C12:C19 F12:F19</xm:sqref>
        </x14:conditionalFormatting>
        <x14:conditionalFormatting xmlns:xm="http://schemas.microsoft.com/office/excel/2006/main">
          <x14:cfRule type="cellIs" priority="5" operator="equal" id="{00D700B7-0015-4E00-BF52-002F00ED0057}">
            <xm:f>0</xm:f>
            <x14:dxf>
              <font>
                <color theme="0"/>
              </font>
            </x14:dxf>
          </x14:cfRule>
          <xm:sqref>C43:C50</xm:sqref>
        </x14:conditionalFormatting>
        <x14:conditionalFormatting xmlns:xm="http://schemas.microsoft.com/office/excel/2006/main">
          <x14:cfRule type="cellIs" priority="3" operator="equal" id="{00BE0032-0096-4004-8606-00D800E5006C}">
            <xm:f>0</xm:f>
            <x14:dxf>
              <font>
                <color theme="0"/>
              </font>
            </x14:dxf>
          </x14:cfRule>
          <xm:sqref>C74:C81</xm:sqref>
        </x14:conditionalFormatting>
        <x14:conditionalFormatting xmlns:xm="http://schemas.microsoft.com/office/excel/2006/main">
          <x14:cfRule type="cellIs" priority="2" operator="equal" id="{00BB00DC-002E-4FD3-BD44-00870015001A}">
            <xm:f>0</xm:f>
            <x14:dxf>
              <font>
                <color theme="0"/>
              </font>
            </x14:dxf>
          </x14:cfRule>
          <xm:sqref>F43:F50</xm:sqref>
        </x14:conditionalFormatting>
        <x14:conditionalFormatting xmlns:xm="http://schemas.microsoft.com/office/excel/2006/main">
          <x14:cfRule type="cellIs" priority="1" operator="equal" id="{005A0077-001F-4B03-868C-002000820056}">
            <xm:f>0</xm:f>
            <x14:dxf>
              <font>
                <color theme="0"/>
              </font>
            </x14:dxf>
          </x14:cfRule>
          <xm:sqref>F74:F81</xm:sqref>
        </x14:conditionalFormatting>
        <x14:conditionalFormatting xmlns:xm="http://schemas.microsoft.com/office/excel/2006/main">
          <x14:cfRule type="cellIs" priority="8" operator="greaterThan" stopIfTrue="1" id="{002800E3-0032-4EBB-9C8A-007B00A6000C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I12:N19</xm:sqref>
        </x14:conditionalFormatting>
        <x14:conditionalFormatting xmlns:xm="http://schemas.microsoft.com/office/excel/2006/main">
          <x14:cfRule type="cellIs" priority="6" operator="greaterThan" stopIfTrue="1" id="{006D00DA-0026-4752-BE36-00F300BC0017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I43:N50</xm:sqref>
        </x14:conditionalFormatting>
        <x14:conditionalFormatting xmlns:xm="http://schemas.microsoft.com/office/excel/2006/main">
          <x14:cfRule type="cellIs" priority="4" operator="greaterThan" stopIfTrue="1" id="{00E500C9-00F1-428F-B83D-00140061003B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I74:N81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6" disablePrompts="0">
        <x14:dataValidation xr:uid="{001400D1-0002-4E08-8615-008B00E90073}" type="list" allowBlank="1" errorStyle="stop" imeMode="noControl" operator="between" showDropDown="0" showErrorMessage="1" showInputMessage="1">
          <x14:formula1>
            <xm:f>$AA8:$AA22</xm:f>
          </x14:formula1>
          <xm:sqref>G19 G50 G81</xm:sqref>
        </x14:dataValidation>
        <x14:dataValidation xr:uid="{0095008C-0004-417E-B409-0020004C00A9}" type="list" allowBlank="1" errorStyle="stop" imeMode="noControl" operator="between" showDropDown="0" showErrorMessage="1" showInputMessage="1">
          <x14:formula1>
            <xm:f>$AA8:$AA22</xm:f>
          </x14:formula1>
          <xm:sqref>G18 G49 G80</xm:sqref>
        </x14:dataValidation>
        <x14:dataValidation xr:uid="{00E1007F-008A-44A6-9DEF-00B0008000C0}" type="list" allowBlank="1" errorStyle="stop" imeMode="noControl" operator="between" showDropDown="0" showErrorMessage="1" showInputMessage="1">
          <x14:formula1>
            <xm:f>$AA8:$AA22</xm:f>
          </x14:formula1>
          <xm:sqref>G17 G48 G79</xm:sqref>
        </x14:dataValidation>
        <x14:dataValidation xr:uid="{00F80060-00B9-4985-8D82-00EF009400EB}" type="list" allowBlank="1" errorStyle="stop" imeMode="noControl" operator="between" showDropDown="0" showErrorMessage="1" showInputMessage="1">
          <x14:formula1>
            <xm:f>$AA8:$AA22</xm:f>
          </x14:formula1>
          <xm:sqref>G16 G47 G78</xm:sqref>
        </x14:dataValidation>
        <x14:dataValidation xr:uid="{009700BF-0040-4EEE-A5F2-006F00EB00A2}" type="list" allowBlank="1" errorStyle="stop" imeMode="noControl" operator="between" showDropDown="0" showErrorMessage="1" showInputMessage="1">
          <x14:formula1>
            <xm:f>$AA8:$AA22</xm:f>
          </x14:formula1>
          <xm:sqref>G15 G46 G77</xm:sqref>
        </x14:dataValidation>
        <x14:dataValidation xr:uid="{00A4009F-0088-48E4-ABFC-00FB00E0008C}" type="list" allowBlank="1" errorStyle="stop" imeMode="noControl" operator="between" showDropDown="0" showErrorMessage="1" showInputMessage="1">
          <x14:formula1>
            <xm:f>$AA8:$AA22</xm:f>
          </x14:formula1>
          <xm:sqref>G14 G45 G76</xm:sqref>
        </x14:dataValidation>
        <x14:dataValidation xr:uid="{00C5008F-0036-4CDA-BCED-00B6004F0008}" type="list" allowBlank="1" errorStyle="stop" imeMode="noControl" operator="between" showDropDown="0" showErrorMessage="1" showInputMessage="1">
          <x14:formula1>
            <xm:f>$AA8:$AA22</xm:f>
          </x14:formula1>
          <xm:sqref>G13 G44 G75</xm:sqref>
        </x14:dataValidation>
        <x14:dataValidation xr:uid="{00DA0047-00A1-4637-B5C1-0040007E00CA}" type="list" allowBlank="1" errorStyle="stop" imeMode="noControl" operator="between" showDropDown="0" showErrorMessage="1" showInputMessage="1">
          <x14:formula1>
            <xm:f>$AA8:$AA22</xm:f>
          </x14:formula1>
          <xm:sqref>G12 G43 G74</xm:sqref>
        </x14:dataValidation>
        <x14:dataValidation xr:uid="{00820011-0044-49F6-AB0A-008500B6008C}" type="list" allowBlank="1" errorStyle="stop" imeMode="noControl" operator="between" showDropDown="0" showErrorMessage="1" showInputMessage="1">
          <x14:formula1>
            <xm:f>$Z8:$Z22</xm:f>
          </x14:formula1>
          <xm:sqref>D19:E19 D50:E50 D81:E81</xm:sqref>
        </x14:dataValidation>
        <x14:dataValidation xr:uid="{009D00AC-002B-4895-BCC8-008C000D0024}" type="list" allowBlank="1" errorStyle="stop" imeMode="noControl" operator="between" showDropDown="0" showErrorMessage="1" showInputMessage="1">
          <x14:formula1>
            <xm:f>$Z8:$Z22</xm:f>
          </x14:formula1>
          <xm:sqref>D18:E18 D49:E49 D80:E80</xm:sqref>
        </x14:dataValidation>
        <x14:dataValidation xr:uid="{0063001A-00DA-4E99-B336-004B0063007B}" type="list" allowBlank="1" errorStyle="stop" imeMode="noControl" operator="between" showDropDown="0" showErrorMessage="1" showInputMessage="1">
          <x14:formula1>
            <xm:f>$Z8:$Z22</xm:f>
          </x14:formula1>
          <xm:sqref>D17:E17 D48:E48 D79:E79</xm:sqref>
        </x14:dataValidation>
        <x14:dataValidation xr:uid="{0088006A-00F9-40FC-8D38-00B2005B0058}" type="list" allowBlank="1" errorStyle="stop" imeMode="noControl" operator="between" showDropDown="0" showErrorMessage="1" showInputMessage="1">
          <x14:formula1>
            <xm:f>$Z8:$Z22</xm:f>
          </x14:formula1>
          <xm:sqref>D16:E16 D47:E47 D78:E78</xm:sqref>
        </x14:dataValidation>
        <x14:dataValidation xr:uid="{00580029-0014-4733-84DC-000300EF00B0}" type="list" allowBlank="1" errorStyle="stop" imeMode="noControl" operator="between" showDropDown="0" showErrorMessage="1" showInputMessage="1">
          <x14:formula1>
            <xm:f>$Z8:$Z22</xm:f>
          </x14:formula1>
          <xm:sqref>D15:E15 D46:E46 D77:E77</xm:sqref>
        </x14:dataValidation>
        <x14:dataValidation xr:uid="{005C0053-000D-4EE1-8AA6-006000B50021}" type="list" allowBlank="1" errorStyle="stop" imeMode="noControl" operator="between" showDropDown="0" showErrorMessage="1" showInputMessage="1">
          <x14:formula1>
            <xm:f>$Z8:$Z22</xm:f>
          </x14:formula1>
          <xm:sqref>D14:E14 D45:E45 D76:E76</xm:sqref>
        </x14:dataValidation>
        <x14:dataValidation xr:uid="{00D1006C-00CB-4578-A960-00B1009E0070}" type="list" allowBlank="1" errorStyle="stop" imeMode="noControl" operator="between" showDropDown="0" showErrorMessage="1" showInputMessage="1">
          <x14:formula1>
            <xm:f>$Z8:$Z22</xm:f>
          </x14:formula1>
          <xm:sqref>D13:E13 D44:E44 D75:E75</xm:sqref>
        </x14:dataValidation>
        <x14:dataValidation xr:uid="{00C700AB-00CB-4317-B91B-0061001E0026}" type="list" allowBlank="1" errorStyle="stop" imeMode="noControl" operator="between" showDropDown="0" showErrorMessage="1" showInputMessage="1">
          <x14:formula1>
            <xm:f>$Z8:$Z22</xm:f>
          </x14:formula1>
          <xm:sqref>D12:E12 D43:E43 D74:E74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view="pageBreakPreview" zoomScale="85" workbookViewId="0">
      <selection activeCell="D5" activeCellId="0" sqref="D5:H5"/>
    </sheetView>
  </sheetViews>
  <sheetFormatPr baseColWidth="10" defaultColWidth="11.42578125" defaultRowHeight="15"/>
  <cols>
    <col customWidth="1" min="1" max="1" style="8" width="11"/>
    <col customWidth="1" min="2" max="2" style="8" width="1.42578125"/>
    <col customWidth="1" min="3" max="3" style="8" width="5.7109375"/>
    <col customWidth="1" min="4" max="4" style="8" width="10.140625"/>
    <col customWidth="1" min="5" max="5" style="8" width="19.85546875"/>
    <col customWidth="1" min="6" max="6" style="8" width="5.7109375"/>
    <col customWidth="1" min="7" max="7" style="8" width="28.140625"/>
    <col customWidth="1" min="8" max="8" style="8" width="0.85546875"/>
    <col customWidth="1" min="9" max="20" style="8" width="7.85546875"/>
    <col customWidth="1" min="21" max="21" style="8" width="0.85546875"/>
    <col customWidth="1" min="22" max="23" style="8" width="7.85546875"/>
    <col min="24" max="24" style="8" width="11.42578125"/>
    <col customWidth="1" min="25" max="25" style="8" width="2.85546875"/>
    <col min="26" max="27" style="8" width="11.42578125"/>
    <col bestFit="1" customWidth="1" min="28" max="28" style="8" width="2.85546875"/>
    <col min="29" max="29" style="8" width="11.42578125"/>
    <col customWidth="1" min="30" max="30" style="8" width="111.42578125"/>
    <col min="31" max="16384" style="8" width="11.42578125"/>
  </cols>
  <sheetData>
    <row r="1" ht="21">
      <c r="A1" s="9" t="s">
        <v>120</v>
      </c>
      <c r="F1" s="10" t="str">
        <f>IF(V12&gt;V14,CONCATENATE("Achtung! Teamreihenfolge ",D5," nicht richtig! 1. und 2. Doppel tauschen."),IF(V14&gt;V16,CONCATENATE("Achtung! Teamreihenfolge ",D5," nicht richtig! 2. und 3. Doppel tauschen."),IF(AND(V18&gt;=V19,V19&gt;0),CONCATENATE("Achtung! Teamreihenfolge ",D5," nicht richtig! Beide Einzel tauschen."),IF(W12&gt;W14,CONCATENATE("Achtung! Teamreihenfolge ",D7," nicht richtig! 1. und 2. Doppel tauschen."),IF(W14&gt;W16,CONCATENATE("Achtung! Teamreihenfolge ",D7," nicht richtig! 2. und 3. Doppel tauschen."),IF(AND(W18&gt;=W19,W19&gt;0),CONCATENATE("Achtung! Teamreihenfolge ",D7," nicht richtig! Beide Einzel tauschen."),""))))))</f>
        <v/>
      </c>
      <c r="G1" s="10"/>
      <c r="H1" s="10"/>
      <c r="I1" s="10"/>
      <c r="J1" s="10"/>
      <c r="K1" s="10"/>
      <c r="L1" s="10"/>
      <c r="M1" s="10"/>
      <c r="N1" s="10"/>
    </row>
    <row r="2" s="11" customFormat="1" ht="26.25">
      <c r="A2" s="12" t="s">
        <v>121</v>
      </c>
      <c r="B2" s="12"/>
      <c r="C2" s="12"/>
      <c r="D2" s="12"/>
      <c r="E2" s="12"/>
      <c r="F2" s="10"/>
      <c r="G2" s="10"/>
      <c r="H2" s="10"/>
      <c r="I2" s="10"/>
      <c r="J2" s="10"/>
      <c r="K2" s="10"/>
      <c r="L2" s="10"/>
      <c r="M2" s="10"/>
      <c r="N2" s="10"/>
    </row>
    <row r="3" s="11" customFormat="1" ht="26.25">
      <c r="A3" s="13" t="s">
        <v>122</v>
      </c>
      <c r="B3" s="12"/>
      <c r="C3" s="12"/>
      <c r="D3" s="12"/>
      <c r="E3" s="12"/>
      <c r="F3" s="10"/>
      <c r="G3" s="10"/>
      <c r="H3" s="10"/>
      <c r="I3" s="10"/>
      <c r="J3" s="10"/>
      <c r="K3" s="10"/>
      <c r="L3" s="10"/>
      <c r="M3" s="10"/>
      <c r="N3" s="10"/>
    </row>
    <row r="4" s="14" customFormat="1" ht="15" customHeight="1">
      <c r="A4" s="15"/>
      <c r="M4" s="16"/>
      <c r="V4" s="14"/>
      <c r="W4" s="14"/>
      <c r="AD4" s="17"/>
    </row>
    <row r="5" s="11" customFormat="1" ht="21" customHeight="1">
      <c r="A5" s="18" t="s">
        <v>123</v>
      </c>
      <c r="B5" s="18"/>
      <c r="C5" s="18"/>
      <c r="D5" s="19"/>
      <c r="E5" s="19"/>
      <c r="F5" s="19"/>
      <c r="G5" s="19"/>
      <c r="H5" s="19"/>
      <c r="K5" s="20"/>
      <c r="L5" s="21" t="s">
        <v>124</v>
      </c>
      <c r="M5" s="22" t="str">
        <f>Gruppe</f>
        <v>II</v>
      </c>
      <c r="N5" s="20"/>
      <c r="O5" s="20"/>
      <c r="P5" s="20"/>
      <c r="Q5" s="20"/>
      <c r="R5" s="20"/>
      <c r="S5" s="20"/>
      <c r="T5" s="20"/>
      <c r="V5" s="11"/>
      <c r="W5" s="23"/>
      <c r="AD5" s="17"/>
    </row>
    <row r="6" s="14" customFormat="1" ht="21" customHeight="1">
      <c r="C6" s="24" t="s">
        <v>125</v>
      </c>
      <c r="L6" s="24" t="s">
        <v>126</v>
      </c>
      <c r="M6" s="16"/>
      <c r="N6" s="16"/>
      <c r="O6" s="16"/>
      <c r="P6" s="16"/>
      <c r="Q6" s="16"/>
      <c r="V6" s="23"/>
      <c r="W6" s="23"/>
      <c r="AD6" s="17"/>
    </row>
    <row r="7" s="11" customFormat="1" ht="21" customHeight="1">
      <c r="A7" s="18" t="s">
        <v>127</v>
      </c>
      <c r="B7" s="18"/>
      <c r="C7" s="18"/>
      <c r="D7" s="19"/>
      <c r="E7" s="19"/>
      <c r="F7" s="19"/>
      <c r="G7" s="19"/>
      <c r="H7" s="19"/>
      <c r="J7" s="18" t="s">
        <v>128</v>
      </c>
      <c r="K7" s="18"/>
      <c r="L7" s="18"/>
      <c r="M7" s="22" t="str">
        <f>Austragungsort</f>
        <v xml:space="preserve">Sporthalle Berlin</v>
      </c>
      <c r="N7" s="25"/>
      <c r="O7" s="25"/>
      <c r="P7" s="25"/>
      <c r="Q7" s="25"/>
      <c r="R7" s="20"/>
      <c r="S7" s="20"/>
      <c r="T7" s="20"/>
      <c r="V7" s="23"/>
      <c r="W7" s="23"/>
      <c r="Y7" s="26" t="s">
        <v>129</v>
      </c>
      <c r="Z7" s="27"/>
      <c r="AA7" s="28" t="s">
        <v>130</v>
      </c>
      <c r="AB7" s="27"/>
      <c r="AD7" s="29" t="s">
        <v>131</v>
      </c>
      <c r="AE7" s="17"/>
      <c r="AF7" s="17"/>
      <c r="AG7" s="17"/>
      <c r="AH7" s="17"/>
      <c r="AI7" s="17"/>
      <c r="AJ7" s="17"/>
      <c r="AK7" s="17"/>
      <c r="AL7" s="17"/>
      <c r="AM7" s="17"/>
    </row>
    <row r="8" s="11" customFormat="1" ht="21">
      <c r="A8" s="15"/>
      <c r="C8" s="24" t="s">
        <v>132</v>
      </c>
      <c r="L8" s="24" t="s">
        <v>133</v>
      </c>
      <c r="V8" s="23"/>
      <c r="W8" s="23"/>
      <c r="Y8" s="30">
        <v>1</v>
      </c>
      <c r="Z8" s="31" t="e">
        <f>VLOOKUP(CONCATENATE($D5," ",Y8),Setzlisten!$A:$E,5,0)</f>
        <v>#N/A</v>
      </c>
      <c r="AA8" s="30" t="e">
        <f>VLOOKUP(CONCATENATE($D7," ",Y8),Setzlisten!$A:$E,5,0)</f>
        <v>#N/A</v>
      </c>
      <c r="AB8" s="31">
        <v>1</v>
      </c>
      <c r="AD8" s="32" t="str">
        <f>CONCATENATE(A12,": ",D12," mit ",D13," - ",G12," mit ",G13,", ",I12,":",J12,", ",K12,":",L12,IF(M12="","",CONCATENATE(", ",M12,":",N12)),CHAR(10),A14,": ",D14," mit ",D15," - ",G14," mit ",G15,", ",I14,":",J14,", ",K14,":",L14,IF(M14="","",CONCATENATE(", ",M14,":",N14)),CHAR(10),A16,": ",D16," mit ",D17," - ",G16," mit ",G17,", ",I16,":",J16,", ",K16,":",L16,IF(M16="","",CONCATENATE(", ",M16,":",N16)),CHAR(10),A18,": ",D18," - ",G18,", ",I18,":",J18,", ",K18,":",L18,IF(M18="","",CONCATENATE(", ",M18,":",N18)),CHAR(10),A19,": ",D19," - ",G19,", ",I19,":",J19,", ",K19,":",L19,IF(M19="","",CONCATENATE(", ",M19,":",N19)))</f>
        <v xml:space="preserve">1. Doppel
1st Doubles:  mit  -  mit , :, :
2. Doppel
2nd Doubles:  mit  -  mit , :, :
3. Doppel
3rd Doubles:  mit  -  mit , :, :
1. Einzel
1st Singles:  - , :, :
2. Einzel
2nd Singles:  - , :, :</v>
      </c>
      <c r="AE8" s="17"/>
      <c r="AF8" s="17"/>
      <c r="AG8" s="17"/>
      <c r="AH8" s="17"/>
      <c r="AI8" s="17"/>
      <c r="AJ8" s="17"/>
      <c r="AK8" s="17"/>
      <c r="AL8" s="17"/>
      <c r="AM8" s="17"/>
    </row>
    <row r="9" s="11" customFormat="1" ht="26.25" customHeight="1">
      <c r="A9" s="33" t="s">
        <v>134</v>
      </c>
      <c r="B9" s="34"/>
      <c r="C9" s="35" t="s">
        <v>135</v>
      </c>
      <c r="D9" s="36" t="s">
        <v>136</v>
      </c>
      <c r="E9" s="37"/>
      <c r="F9" s="38" t="s">
        <v>135</v>
      </c>
      <c r="G9" s="39" t="s">
        <v>137</v>
      </c>
      <c r="H9" s="40"/>
      <c r="I9" s="41" t="s">
        <v>138</v>
      </c>
      <c r="J9" s="42"/>
      <c r="K9" s="41" t="s">
        <v>139</v>
      </c>
      <c r="L9" s="42"/>
      <c r="M9" s="43" t="s">
        <v>140</v>
      </c>
      <c r="N9" s="44"/>
      <c r="O9" s="45" t="s">
        <v>141</v>
      </c>
      <c r="P9" s="46"/>
      <c r="Q9" s="47" t="s">
        <v>142</v>
      </c>
      <c r="R9" s="48"/>
      <c r="S9" s="49" t="s">
        <v>143</v>
      </c>
      <c r="T9" s="50"/>
      <c r="V9" s="51" t="s">
        <v>144</v>
      </c>
      <c r="W9" s="52" t="s">
        <v>145</v>
      </c>
      <c r="Y9" s="30">
        <v>2</v>
      </c>
      <c r="Z9" s="31" t="e">
        <f>VLOOKUP(CONCATENATE($D5," ",Y9),Setzlisten!$A:$E,5,0)</f>
        <v>#N/A</v>
      </c>
      <c r="AA9" s="30" t="e">
        <f>VLOOKUP(CONCATENATE($D7," ",Y9),Setzlisten!$A:$E,5,0)</f>
        <v>#N/A</v>
      </c>
      <c r="AB9" s="31">
        <v>2</v>
      </c>
      <c r="AD9" s="32"/>
      <c r="AE9" s="17"/>
      <c r="AF9" s="17"/>
      <c r="AG9" s="17"/>
      <c r="AH9" s="17"/>
      <c r="AI9" s="17"/>
      <c r="AJ9" s="17"/>
      <c r="AK9" s="17"/>
      <c r="AL9" s="17"/>
      <c r="AM9" s="17"/>
    </row>
    <row r="10" s="11" customFormat="1" ht="29.25" customHeight="1">
      <c r="A10" s="53">
        <f>Allgemeines!G5</f>
        <v>0.58333333333333337</v>
      </c>
      <c r="B10" s="34"/>
      <c r="C10" s="54"/>
      <c r="D10" s="55"/>
      <c r="E10" s="56"/>
      <c r="F10" s="57"/>
      <c r="G10" s="58"/>
      <c r="H10" s="40"/>
      <c r="I10" s="59"/>
      <c r="J10" s="60"/>
      <c r="K10" s="59"/>
      <c r="L10" s="60"/>
      <c r="M10" s="61"/>
      <c r="N10" s="62"/>
      <c r="O10" s="63" t="s">
        <v>146</v>
      </c>
      <c r="P10" s="64" t="s">
        <v>147</v>
      </c>
      <c r="Q10" s="65" t="s">
        <v>146</v>
      </c>
      <c r="R10" s="66" t="s">
        <v>147</v>
      </c>
      <c r="S10" s="64" t="s">
        <v>146</v>
      </c>
      <c r="T10" s="67" t="s">
        <v>147</v>
      </c>
      <c r="V10" s="68"/>
      <c r="W10" s="69"/>
      <c r="Y10" s="30">
        <v>3</v>
      </c>
      <c r="Z10" s="31" t="e">
        <f>VLOOKUP(CONCATENATE($D5," ",Y10),Setzlisten!$A:$E,5,0)</f>
        <v>#N/A</v>
      </c>
      <c r="AA10" s="30" t="e">
        <f>VLOOKUP(CONCATENATE($D7," ",Y10),Setzlisten!$A:$E,5,0)</f>
        <v>#N/A</v>
      </c>
      <c r="AB10" s="31">
        <v>3</v>
      </c>
      <c r="AD10" s="32"/>
      <c r="AE10" s="17"/>
      <c r="AF10" s="17"/>
      <c r="AG10" s="17"/>
      <c r="AH10" s="17"/>
      <c r="AI10" s="17"/>
      <c r="AJ10" s="17"/>
      <c r="AK10" s="17"/>
      <c r="AL10" s="17"/>
      <c r="AM10" s="17"/>
    </row>
    <row r="11" s="70" customFormat="1" ht="9">
      <c r="V11" s="30"/>
      <c r="W11" s="31"/>
      <c r="Y11" s="30">
        <v>4</v>
      </c>
      <c r="Z11" s="31" t="e">
        <f>VLOOKUP(CONCATENATE($D5," ",Y11),Setzlisten!$A:$E,5,0)</f>
        <v>#N/A</v>
      </c>
      <c r="AA11" s="30" t="e">
        <f>VLOOKUP(CONCATENATE($D7," ",Y11),Setzlisten!$A:$E,5,0)</f>
        <v>#N/A</v>
      </c>
      <c r="AB11" s="31">
        <v>4</v>
      </c>
      <c r="AD11" s="32"/>
    </row>
    <row r="12" s="11" customFormat="1" ht="24" customHeight="1">
      <c r="A12" s="71" t="s">
        <v>148</v>
      </c>
      <c r="C12" s="72">
        <f>IF(D12="",0,VLOOKUP(D12,$Z8:$AB22,3,0))</f>
        <v>0</v>
      </c>
      <c r="D12" s="73"/>
      <c r="E12" s="74"/>
      <c r="F12" s="75">
        <f>IF(G12="",0,VLOOKUP(G12,$AA8:$AB22,2,0))</f>
        <v>0</v>
      </c>
      <c r="G12" s="76"/>
      <c r="I12" s="77"/>
      <c r="J12" s="78"/>
      <c r="K12" s="77"/>
      <c r="L12" s="78"/>
      <c r="M12" s="77"/>
      <c r="N12" s="79"/>
      <c r="O12" s="80" t="str">
        <f>IF(I12="","",SUM(I12,K12,M12))</f>
        <v/>
      </c>
      <c r="P12" s="81" t="str">
        <f>IF(J12="","",SUM(J12,L12,N12))</f>
        <v/>
      </c>
      <c r="Q12" s="82" t="str">
        <f>IF(I12="","",IF(I12&gt;J12,1,0)+IF(K12&gt;L12,1,0)+IF(M12="",0,IF(M12&gt;N12,1,0)))</f>
        <v/>
      </c>
      <c r="R12" s="83" t="str">
        <f>IF(I12="","",IF(J12&gt;I12,1,0)+IF(L12&gt;K12,1,0)+IF(M12="",0,IF(N12&gt;M12,1,0)))</f>
        <v/>
      </c>
      <c r="S12" s="84" t="str">
        <f>IF(I12="","",IF(Q12&gt;R12,1,0))</f>
        <v/>
      </c>
      <c r="T12" s="85" t="str">
        <f>IF(I12="","",IF(R12&gt;Q12,1,0))</f>
        <v/>
      </c>
      <c r="V12" s="86">
        <f>C12+C13</f>
        <v>0</v>
      </c>
      <c r="W12" s="87">
        <f>F12+F13</f>
        <v>0</v>
      </c>
      <c r="Y12" s="30">
        <v>5</v>
      </c>
      <c r="Z12" s="31" t="e">
        <f>VLOOKUP(CONCATENATE($D5," ",Y12),Setzlisten!$A:$E,5,0)</f>
        <v>#N/A</v>
      </c>
      <c r="AA12" s="30" t="e">
        <f>VLOOKUP(CONCATENATE($D7," ",Y12),Setzlisten!$A:$E,5,0)</f>
        <v>#N/A</v>
      </c>
      <c r="AB12" s="31">
        <v>5</v>
      </c>
      <c r="AD12" s="32"/>
    </row>
    <row r="13" s="11" customFormat="1" ht="24" customHeight="1">
      <c r="A13" s="88"/>
      <c r="C13" s="89">
        <f>IF(D13="",0,VLOOKUP(D13,$Z8:$AB22,3,0))</f>
        <v>0</v>
      </c>
      <c r="D13" s="90"/>
      <c r="E13" s="91"/>
      <c r="F13" s="92">
        <f>IF(G13="",0,VLOOKUP(G13,$AA8:$AB22,2,0))</f>
        <v>0</v>
      </c>
      <c r="G13" s="93"/>
      <c r="I13" s="77"/>
      <c r="J13" s="78"/>
      <c r="K13" s="77"/>
      <c r="L13" s="78"/>
      <c r="M13" s="77"/>
      <c r="N13" s="79"/>
      <c r="O13" s="92"/>
      <c r="P13" s="94"/>
      <c r="Q13" s="89"/>
      <c r="R13" s="95"/>
      <c r="S13" s="96"/>
      <c r="T13" s="97"/>
      <c r="V13" s="98"/>
      <c r="W13" s="99"/>
      <c r="Y13" s="30">
        <v>6</v>
      </c>
      <c r="Z13" s="31" t="e">
        <f>VLOOKUP(CONCATENATE($D5," ",Y13),Setzlisten!$A:$E,5,0)</f>
        <v>#N/A</v>
      </c>
      <c r="AA13" s="30" t="e">
        <f>VLOOKUP(CONCATENATE($D7," ",Y13),Setzlisten!$A:$E,5,0)</f>
        <v>#N/A</v>
      </c>
      <c r="AB13" s="31">
        <v>6</v>
      </c>
      <c r="AD13" s="32"/>
    </row>
    <row r="14" s="11" customFormat="1" ht="24" customHeight="1">
      <c r="A14" s="71" t="s">
        <v>149</v>
      </c>
      <c r="C14" s="72">
        <f>IF(D14="",0,VLOOKUP(D14,$Z8:$AB22,3,0))</f>
        <v>0</v>
      </c>
      <c r="D14" s="73"/>
      <c r="E14" s="74"/>
      <c r="F14" s="75">
        <f>IF(G14="",0,VLOOKUP(G14,$AA8:$AB22,2,0))</f>
        <v>0</v>
      </c>
      <c r="G14" s="76"/>
      <c r="I14" s="77"/>
      <c r="J14" s="100"/>
      <c r="K14" s="77"/>
      <c r="L14" s="78"/>
      <c r="M14" s="77"/>
      <c r="N14" s="79"/>
      <c r="O14" s="80" t="str">
        <f>IF(I14="","",SUM(I14,K14,M14))</f>
        <v/>
      </c>
      <c r="P14" s="81" t="str">
        <f t="shared" ref="P14:P19" si="92">IF(J14="","",SUM(J14,L14,N14))</f>
        <v/>
      </c>
      <c r="Q14" s="82" t="str">
        <f t="shared" ref="Q14:Q19" si="93">IF(I14="","",IF(I14&gt;J14,1,0)+IF(K14&gt;L14,1,0)+IF(M14="",0,IF(M14&gt;N14,1,0)))</f>
        <v/>
      </c>
      <c r="R14" s="83" t="str">
        <f t="shared" ref="R14:R19" si="94">IF(I14="","",IF(J14&gt;I14,1,0)+IF(L14&gt;K14,1,0)+IF(M14="",0,IF(N14&gt;M14,1,0)))</f>
        <v/>
      </c>
      <c r="S14" s="84" t="str">
        <f t="shared" ref="S14:S19" si="95">IF(I14="","",IF(Q14&gt;R14,1,0))</f>
        <v/>
      </c>
      <c r="T14" s="85" t="str">
        <f t="shared" ref="T14:T19" si="96">IF(I14="","",IF(R14&gt;Q14,1,0))</f>
        <v/>
      </c>
      <c r="V14" s="98">
        <f>C14+C15</f>
        <v>0</v>
      </c>
      <c r="W14" s="99">
        <f>F14+F15</f>
        <v>0</v>
      </c>
      <c r="Y14" s="30">
        <v>7</v>
      </c>
      <c r="Z14" s="31" t="e">
        <f>VLOOKUP(CONCATENATE($D5," ",Y14),Setzlisten!$A:$E,5,0)</f>
        <v>#N/A</v>
      </c>
      <c r="AA14" s="30" t="e">
        <f>VLOOKUP(CONCATENATE($D7," ",Y14),Setzlisten!$A:$E,5,0)</f>
        <v>#N/A</v>
      </c>
      <c r="AB14" s="31">
        <v>7</v>
      </c>
      <c r="AD14" s="101" t="s">
        <v>150</v>
      </c>
    </row>
    <row r="15" s="11" customFormat="1" ht="24" customHeight="1">
      <c r="A15" s="88"/>
      <c r="C15" s="89">
        <f>IF(D15="",0,VLOOKUP(D15,$Z8:$AB22,3,0))</f>
        <v>0</v>
      </c>
      <c r="D15" s="90"/>
      <c r="E15" s="91"/>
      <c r="F15" s="92">
        <f>IF(G15="",0,VLOOKUP(G15,$AA8:$AB22,2,0))</f>
        <v>0</v>
      </c>
      <c r="G15" s="93"/>
      <c r="I15" s="77"/>
      <c r="J15" s="78"/>
      <c r="K15" s="77"/>
      <c r="L15" s="78"/>
      <c r="M15" s="77"/>
      <c r="N15" s="79"/>
      <c r="O15" s="92"/>
      <c r="P15" s="94"/>
      <c r="Q15" s="89"/>
      <c r="R15" s="95"/>
      <c r="S15" s="96"/>
      <c r="T15" s="97"/>
      <c r="V15" s="98"/>
      <c r="W15" s="99"/>
      <c r="Y15" s="30">
        <v>8</v>
      </c>
      <c r="Z15" s="31" t="e">
        <f>VLOOKUP(CONCATENATE($D5," ",Y15),Setzlisten!$A:$E,5,0)</f>
        <v>#N/A</v>
      </c>
      <c r="AA15" s="30" t="e">
        <f>VLOOKUP(CONCATENATE($D7," ",Y15),Setzlisten!$A:$E,5,0)</f>
        <v>#N/A</v>
      </c>
      <c r="AB15" s="31">
        <v>8</v>
      </c>
      <c r="AD15" s="101"/>
    </row>
    <row r="16" s="11" customFormat="1" ht="24" customHeight="1">
      <c r="A16" s="71" t="s">
        <v>151</v>
      </c>
      <c r="C16" s="72">
        <f>IF(D16="",0,VLOOKUP(D16,$Z8:$AB22,3,0))</f>
        <v>0</v>
      </c>
      <c r="D16" s="73"/>
      <c r="E16" s="74"/>
      <c r="F16" s="75">
        <f>IF(G16="",0,VLOOKUP(G16,$AA8:$AB22,2,0))</f>
        <v>0</v>
      </c>
      <c r="G16" s="76"/>
      <c r="I16" s="77"/>
      <c r="J16" s="78"/>
      <c r="K16" s="77"/>
      <c r="L16" s="78"/>
      <c r="M16" s="77"/>
      <c r="N16" s="79"/>
      <c r="O16" s="80" t="str">
        <f>IF(I16="","",SUM(I16,K16,M16))</f>
        <v/>
      </c>
      <c r="P16" s="81" t="str">
        <f t="shared" si="92"/>
        <v/>
      </c>
      <c r="Q16" s="82" t="str">
        <f t="shared" si="93"/>
        <v/>
      </c>
      <c r="R16" s="83" t="str">
        <f t="shared" si="94"/>
        <v/>
      </c>
      <c r="S16" s="84" t="str">
        <f t="shared" si="95"/>
        <v/>
      </c>
      <c r="T16" s="85" t="str">
        <f t="shared" si="96"/>
        <v/>
      </c>
      <c r="V16" s="98">
        <f>C16+C17</f>
        <v>0</v>
      </c>
      <c r="W16" s="99">
        <f>F16+F17</f>
        <v>0</v>
      </c>
      <c r="Y16" s="30">
        <v>9</v>
      </c>
      <c r="Z16" s="31" t="e">
        <f>VLOOKUP(CONCATENATE($D5," ",Y16),Setzlisten!$A:$E,5,0)</f>
        <v>#N/A</v>
      </c>
      <c r="AA16" s="30" t="e">
        <f>VLOOKUP(CONCATENATE($D7," ",Y16),Setzlisten!$A:$E,5,0)</f>
        <v>#N/A</v>
      </c>
      <c r="AB16" s="31">
        <v>9</v>
      </c>
      <c r="AD16" s="32"/>
    </row>
    <row r="17" s="11" customFormat="1" ht="24" customHeight="1">
      <c r="A17" s="88"/>
      <c r="C17" s="89">
        <f>IF(D17="",0,VLOOKUP(D17,$Z8:$AB22,3,0))</f>
        <v>0</v>
      </c>
      <c r="D17" s="90"/>
      <c r="E17" s="91"/>
      <c r="F17" s="92">
        <f>IF(G17="",0,VLOOKUP(G17,$AA8:$AB22,2,0))</f>
        <v>0</v>
      </c>
      <c r="G17" s="93"/>
      <c r="I17" s="77"/>
      <c r="J17" s="78"/>
      <c r="K17" s="77"/>
      <c r="L17" s="78"/>
      <c r="M17" s="77"/>
      <c r="N17" s="79"/>
      <c r="O17" s="92"/>
      <c r="P17" s="94"/>
      <c r="Q17" s="89"/>
      <c r="R17" s="95"/>
      <c r="S17" s="96"/>
      <c r="T17" s="97"/>
      <c r="V17" s="102"/>
      <c r="W17" s="103"/>
      <c r="Y17" s="30">
        <v>10</v>
      </c>
      <c r="Z17" s="31" t="e">
        <f>VLOOKUP(CONCATENATE($D5," ",Y17),Setzlisten!$A:$E,5,0)</f>
        <v>#N/A</v>
      </c>
      <c r="AA17" s="30" t="e">
        <f>VLOOKUP(CONCATENATE($D7," ",Y17),Setzlisten!$A:$E,5,0)</f>
        <v>#N/A</v>
      </c>
      <c r="AB17" s="31">
        <v>10</v>
      </c>
      <c r="AD17" s="32"/>
    </row>
    <row r="18" s="11" customFormat="1" ht="30" customHeight="1">
      <c r="A18" s="71" t="s">
        <v>152</v>
      </c>
      <c r="B18" s="104"/>
      <c r="C18" s="105">
        <f>IF(D18="",0,VLOOKUP(D18,$Z8:$AB22,3,0))</f>
        <v>0</v>
      </c>
      <c r="D18" s="106"/>
      <c r="E18" s="107"/>
      <c r="F18" s="108">
        <f>IF(G18="",0,VLOOKUP(G18,$AA8:$AB22,2,0))</f>
        <v>0</v>
      </c>
      <c r="G18" s="109"/>
      <c r="I18" s="77"/>
      <c r="J18" s="78"/>
      <c r="K18" s="77"/>
      <c r="L18" s="78"/>
      <c r="M18" s="77"/>
      <c r="N18" s="79"/>
      <c r="O18" s="108" t="str">
        <f t="shared" ref="O18:O19" si="97">IF(I18="","",SUM(I18,K18,M18))</f>
        <v/>
      </c>
      <c r="P18" s="110" t="str">
        <f t="shared" si="92"/>
        <v/>
      </c>
      <c r="Q18" s="105" t="str">
        <f t="shared" si="93"/>
        <v/>
      </c>
      <c r="R18" s="111" t="str">
        <f t="shared" si="94"/>
        <v/>
      </c>
      <c r="S18" s="112" t="str">
        <f t="shared" si="95"/>
        <v/>
      </c>
      <c r="T18" s="113" t="str">
        <f t="shared" si="96"/>
        <v/>
      </c>
      <c r="V18" s="98">
        <f t="shared" ref="V18:V19" si="98">C18</f>
        <v>0</v>
      </c>
      <c r="W18" s="99">
        <f t="shared" ref="W18:W19" si="99">F18</f>
        <v>0</v>
      </c>
      <c r="Y18" s="30">
        <v>11</v>
      </c>
      <c r="Z18" s="31" t="e">
        <f>VLOOKUP(CONCATENATE($D5," ",Y18),Setzlisten!$A:$E,5,0)</f>
        <v>#N/A</v>
      </c>
      <c r="AA18" s="30" t="e">
        <f>VLOOKUP(CONCATENATE($D7," ",Y18),Setzlisten!$A:$E,5,0)</f>
        <v>#N/A</v>
      </c>
      <c r="AB18" s="31">
        <v>11</v>
      </c>
      <c r="AD18" s="32"/>
    </row>
    <row r="19" s="11" customFormat="1" ht="30" customHeight="1">
      <c r="A19" s="71" t="s">
        <v>153</v>
      </c>
      <c r="B19" s="104"/>
      <c r="C19" s="105">
        <f>IF(D19="",0,VLOOKUP(D19,$Z8:$AB22,3,0))</f>
        <v>0</v>
      </c>
      <c r="D19" s="106"/>
      <c r="E19" s="107"/>
      <c r="F19" s="108">
        <f>IF(G19="",0,VLOOKUP(G19,$AA8:$AB22,2,0))</f>
        <v>0</v>
      </c>
      <c r="G19" s="109"/>
      <c r="I19" s="77"/>
      <c r="J19" s="78"/>
      <c r="K19" s="77"/>
      <c r="L19" s="78"/>
      <c r="M19" s="77"/>
      <c r="N19" s="79"/>
      <c r="O19" s="108" t="str">
        <f t="shared" si="97"/>
        <v/>
      </c>
      <c r="P19" s="110" t="str">
        <f t="shared" si="92"/>
        <v/>
      </c>
      <c r="Q19" s="105" t="str">
        <f t="shared" si="93"/>
        <v/>
      </c>
      <c r="R19" s="111" t="str">
        <f t="shared" si="94"/>
        <v/>
      </c>
      <c r="S19" s="112" t="str">
        <f t="shared" si="95"/>
        <v/>
      </c>
      <c r="T19" s="113" t="str">
        <f t="shared" si="96"/>
        <v/>
      </c>
      <c r="V19" s="102">
        <f t="shared" si="98"/>
        <v>0</v>
      </c>
      <c r="W19" s="103">
        <f t="shared" si="99"/>
        <v>0</v>
      </c>
      <c r="Y19" s="30">
        <v>12</v>
      </c>
      <c r="Z19" s="31" t="e">
        <f>VLOOKUP(CONCATENATE($D5," ",Y19),Setzlisten!$A:$E,5,0)</f>
        <v>#N/A</v>
      </c>
      <c r="AA19" s="30" t="e">
        <f>VLOOKUP(CONCATENATE($D7," ",Y19),Setzlisten!$A:$E,5,0)</f>
        <v>#N/A</v>
      </c>
      <c r="AB19" s="31">
        <v>12</v>
      </c>
      <c r="AD19" s="32"/>
    </row>
    <row r="20" s="70" customFormat="1" ht="9">
      <c r="Y20" s="30">
        <v>13</v>
      </c>
      <c r="Z20" s="31" t="e">
        <f>VLOOKUP(CONCATENATE($D5," ",Y20),Setzlisten!$A:$E,5,0)</f>
        <v>#N/A</v>
      </c>
      <c r="AA20" s="30" t="e">
        <f>VLOOKUP(CONCATENATE($D7," ",Y20),Setzlisten!$A:$E,5,0)</f>
        <v>#N/A</v>
      </c>
      <c r="AB20" s="31">
        <v>13</v>
      </c>
      <c r="AD20" s="32"/>
    </row>
    <row r="21" s="11" customFormat="1" ht="15.75">
      <c r="A21" s="114" t="s">
        <v>154</v>
      </c>
      <c r="B21" s="34"/>
      <c r="C21" s="115" t="s">
        <v>155</v>
      </c>
      <c r="D21" s="116"/>
      <c r="E21" s="117" t="str">
        <f>IF(S21="","",IF(S21&gt;T21,D5,D7))</f>
        <v/>
      </c>
      <c r="F21" s="118"/>
      <c r="G21" s="119"/>
      <c r="I21" s="115" t="s">
        <v>156</v>
      </c>
      <c r="J21" s="120"/>
      <c r="K21" s="120"/>
      <c r="L21" s="120"/>
      <c r="M21" s="120"/>
      <c r="N21" s="116"/>
      <c r="O21" s="82" t="str">
        <f t="shared" ref="O21:T21" si="100">IF(O12="","",SUM(O12:O19))</f>
        <v/>
      </c>
      <c r="P21" s="121" t="str">
        <f t="shared" si="100"/>
        <v/>
      </c>
      <c r="Q21" s="82" t="str">
        <f t="shared" si="100"/>
        <v/>
      </c>
      <c r="R21" s="121" t="str">
        <f t="shared" si="100"/>
        <v/>
      </c>
      <c r="S21" s="82" t="str">
        <f t="shared" si="100"/>
        <v/>
      </c>
      <c r="T21" s="122" t="str">
        <f t="shared" si="100"/>
        <v/>
      </c>
      <c r="Y21" s="30">
        <v>14</v>
      </c>
      <c r="Z21" s="31" t="e">
        <f>VLOOKUP(CONCATENATE($D5," ",Y21),Setzlisten!$A:$E,5,0)</f>
        <v>#N/A</v>
      </c>
      <c r="AA21" s="30" t="e">
        <f>VLOOKUP(CONCATENATE($D7," ",Y21),Setzlisten!$A:$E,5,0)</f>
        <v>#N/A</v>
      </c>
      <c r="AB21" s="31">
        <v>14</v>
      </c>
      <c r="AD21" s="32"/>
    </row>
    <row r="22" s="11" customFormat="1" ht="23.25">
      <c r="A22" s="53">
        <f>Allgemeines!H5</f>
        <v>0.64583333333333337</v>
      </c>
      <c r="B22" s="34"/>
      <c r="C22" s="123"/>
      <c r="D22" s="124"/>
      <c r="E22" s="125"/>
      <c r="F22" s="126"/>
      <c r="G22" s="127"/>
      <c r="I22" s="123"/>
      <c r="J22" s="128"/>
      <c r="K22" s="128"/>
      <c r="L22" s="128"/>
      <c r="M22" s="128"/>
      <c r="N22" s="124"/>
      <c r="O22" s="129"/>
      <c r="P22" s="130"/>
      <c r="Q22" s="129"/>
      <c r="R22" s="130"/>
      <c r="S22" s="129"/>
      <c r="T22" s="131"/>
      <c r="Y22" s="132">
        <v>15</v>
      </c>
      <c r="Z22" s="133" t="e">
        <f>VLOOKUP(CONCATENATE($D5," ",Y22),Setzlisten!$A:$E,5,0)</f>
        <v>#N/A</v>
      </c>
      <c r="AA22" s="132" t="e">
        <f>VLOOKUP(CONCATENATE($D7," ",Y22),Setzlisten!$A:$E,5,0)</f>
        <v>#N/A</v>
      </c>
      <c r="AB22" s="133">
        <v>15</v>
      </c>
    </row>
    <row r="23" s="11" customFormat="1" ht="15" customHeight="1">
      <c r="A23" s="15"/>
    </row>
    <row r="24" s="11" customFormat="1" ht="30" customHeight="1">
      <c r="B24" s="21"/>
      <c r="C24" s="21"/>
      <c r="D24" s="134" t="s">
        <v>157</v>
      </c>
      <c r="E24" s="134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</row>
    <row r="25" s="11" customFormat="1">
      <c r="A25" s="14"/>
      <c r="P25" s="136"/>
      <c r="Q25" s="136"/>
      <c r="R25" s="136"/>
      <c r="S25" s="136"/>
      <c r="T25" s="136"/>
    </row>
    <row r="26" s="11" customFormat="1" ht="30" customHeight="1">
      <c r="A26" s="137" t="s">
        <v>158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</row>
    <row r="27" s="11" customFormat="1" ht="36" customHeight="1">
      <c r="A27" s="139" t="str">
        <f>Allgemeines!$B$3</f>
        <v>Hamburg</v>
      </c>
      <c r="B27" s="139"/>
      <c r="C27" s="139"/>
      <c r="D27" s="139"/>
      <c r="E27" s="140">
        <f>Allgemeines!$B$4</f>
        <v>46023</v>
      </c>
      <c r="G27" s="141"/>
      <c r="J27" s="141"/>
      <c r="K27" s="141"/>
      <c r="L27" s="141"/>
      <c r="M27" s="141"/>
      <c r="N27" s="141"/>
      <c r="P27" s="141"/>
      <c r="Q27" s="141"/>
      <c r="R27" s="141"/>
      <c r="S27" s="141"/>
      <c r="T27" s="141"/>
    </row>
    <row r="28" s="11" customFormat="1">
      <c r="A28" s="142"/>
      <c r="B28" s="142"/>
      <c r="C28" s="142"/>
      <c r="D28" s="142"/>
      <c r="E28" s="143"/>
      <c r="G28" s="144"/>
      <c r="J28" s="144"/>
      <c r="K28" s="144"/>
      <c r="L28" s="144"/>
      <c r="M28" s="144"/>
      <c r="N28" s="144"/>
      <c r="P28" s="144"/>
      <c r="Q28" s="144"/>
      <c r="R28" s="144"/>
      <c r="S28" s="144"/>
      <c r="T28" s="144"/>
    </row>
    <row r="29" s="11" customFormat="1" ht="15.75">
      <c r="A29" s="145" t="s">
        <v>159</v>
      </c>
      <c r="B29" s="145"/>
      <c r="C29" s="145"/>
      <c r="D29" s="145"/>
      <c r="E29" s="145" t="s">
        <v>160</v>
      </c>
      <c r="F29" s="40"/>
      <c r="G29" s="145" t="s">
        <v>2</v>
      </c>
      <c r="H29" s="40"/>
      <c r="I29" s="40"/>
      <c r="J29" s="146" t="s">
        <v>161</v>
      </c>
      <c r="K29" s="146"/>
      <c r="L29" s="146"/>
      <c r="M29" s="146"/>
      <c r="N29" s="146"/>
      <c r="O29" s="40"/>
      <c r="P29" s="146" t="s">
        <v>162</v>
      </c>
      <c r="Q29" s="146"/>
      <c r="R29" s="146"/>
      <c r="S29" s="146"/>
      <c r="T29" s="146"/>
    </row>
    <row r="30">
      <c r="G30" s="147" t="s">
        <v>163</v>
      </c>
      <c r="J30" s="147" t="s">
        <v>164</v>
      </c>
      <c r="K30" s="147"/>
      <c r="L30" s="147"/>
      <c r="M30" s="147"/>
      <c r="N30" s="147"/>
      <c r="P30" s="147" t="s">
        <v>165</v>
      </c>
      <c r="Q30" s="147"/>
      <c r="R30" s="147"/>
      <c r="S30" s="147"/>
      <c r="T30" s="147"/>
    </row>
    <row r="31">
      <c r="G31" s="141" t="str">
        <f>Allgemeines!$D$2</f>
        <v xml:space="preserve">George Washington</v>
      </c>
      <c r="J31" s="141" t="str">
        <f>IF(D5="","",VLOOKUP(D5,Allgemeines!$B$7:$D$12,3,0))</f>
        <v/>
      </c>
      <c r="K31" s="141"/>
      <c r="L31" s="141"/>
      <c r="M31" s="141"/>
      <c r="N31" s="141"/>
      <c r="P31" s="141" t="str">
        <f>IF(D7="","",VLOOKUP(D7,Allgemeines!$B$7:$D$12,3,0))</f>
        <v/>
      </c>
      <c r="Q31" s="141"/>
      <c r="R31" s="141"/>
      <c r="S31" s="141"/>
      <c r="T31" s="141"/>
    </row>
    <row r="32" ht="21">
      <c r="A32" s="9" t="s">
        <v>120</v>
      </c>
      <c r="F32" s="10" t="str">
        <f>IF(V43&gt;V45,CONCATENATE("Achtung! Teamreihenfolge ",D36," nicht richtig! 1. und 2. Doppel tauschen."),IF(V45&gt;V47,CONCATENATE("Achtung! Teamreihenfolge ",D36," nicht richtig! 2. und 3. Doppel tauschen."),IF(AND(V49&gt;=V50,V50&gt;0),CONCATENATE("Achtung! Teamreihenfolge ",D36," nicht richtig! Beide Einzel tauschen."),IF(W43&gt;W45,CONCATENATE("Achtung! Teamreihenfolge ",D38," nicht richtig! 1. und 2. Doppel tauschen."),IF(W45&gt;W47,CONCATENATE("Achtung! Teamreihenfolge ",D38," nicht richtig! 2. und 3. Doppel tauschen."),IF(AND(W49&gt;=W50,W50&gt;0),CONCATENATE("Achtung! Teamreihenfolge ",D38," nicht richtig! Beide Einzel tauschen."),""))))))</f>
        <v/>
      </c>
      <c r="G32" s="10"/>
      <c r="H32" s="10"/>
      <c r="I32" s="10"/>
      <c r="J32" s="10"/>
      <c r="K32" s="10"/>
      <c r="L32" s="10"/>
      <c r="M32" s="10"/>
      <c r="N32" s="10"/>
    </row>
    <row r="33" s="11" customFormat="1" ht="26.25">
      <c r="A33" s="12" t="s">
        <v>121</v>
      </c>
      <c r="B33" s="12"/>
      <c r="C33" s="12"/>
      <c r="D33" s="12"/>
      <c r="E33" s="12"/>
      <c r="F33" s="10"/>
      <c r="G33" s="10"/>
      <c r="H33" s="10"/>
      <c r="I33" s="10"/>
      <c r="J33" s="10"/>
      <c r="K33" s="10"/>
      <c r="L33" s="10"/>
      <c r="M33" s="10"/>
      <c r="N33" s="10"/>
    </row>
    <row r="34" s="11" customFormat="1" ht="26.25">
      <c r="A34" s="13" t="s">
        <v>122</v>
      </c>
      <c r="B34" s="12"/>
      <c r="C34" s="12"/>
      <c r="D34" s="12"/>
      <c r="E34" s="12"/>
      <c r="F34" s="10"/>
      <c r="G34" s="10"/>
      <c r="H34" s="10"/>
      <c r="I34" s="10"/>
      <c r="J34" s="10"/>
      <c r="K34" s="10"/>
      <c r="L34" s="10"/>
      <c r="M34" s="10"/>
      <c r="N34" s="10"/>
    </row>
    <row r="35" s="14" customFormat="1" ht="15" customHeight="1">
      <c r="A35" s="15"/>
      <c r="M35" s="16"/>
      <c r="V35" s="14"/>
      <c r="W35" s="14"/>
      <c r="AD35" s="17"/>
    </row>
    <row r="36" s="11" customFormat="1" ht="21" customHeight="1">
      <c r="A36" s="18" t="s">
        <v>123</v>
      </c>
      <c r="B36" s="18"/>
      <c r="C36" s="18"/>
      <c r="D36" s="19"/>
      <c r="E36" s="19"/>
      <c r="F36" s="19"/>
      <c r="G36" s="19"/>
      <c r="H36" s="19"/>
      <c r="K36" s="20"/>
      <c r="L36" s="21" t="s">
        <v>124</v>
      </c>
      <c r="M36" s="22" t="str">
        <f>Gruppe</f>
        <v>II</v>
      </c>
      <c r="N36" s="20"/>
      <c r="O36" s="20"/>
      <c r="P36" s="20"/>
      <c r="Q36" s="20"/>
      <c r="R36" s="20"/>
      <c r="S36" s="20"/>
      <c r="T36" s="20"/>
      <c r="V36" s="11"/>
      <c r="W36" s="23"/>
      <c r="AD36" s="17"/>
    </row>
    <row r="37" s="14" customFormat="1" ht="21" customHeight="1">
      <c r="C37" s="24" t="s">
        <v>125</v>
      </c>
      <c r="L37" s="24" t="s">
        <v>126</v>
      </c>
      <c r="M37" s="16"/>
      <c r="N37" s="16"/>
      <c r="O37" s="16"/>
      <c r="P37" s="16"/>
      <c r="Q37" s="16"/>
      <c r="V37" s="23"/>
      <c r="W37" s="23"/>
      <c r="AD37" s="17"/>
    </row>
    <row r="38" s="11" customFormat="1" ht="21" customHeight="1">
      <c r="A38" s="18" t="s">
        <v>127</v>
      </c>
      <c r="B38" s="18"/>
      <c r="C38" s="18"/>
      <c r="D38" s="19"/>
      <c r="E38" s="19"/>
      <c r="F38" s="19"/>
      <c r="G38" s="19"/>
      <c r="H38" s="19"/>
      <c r="J38" s="18" t="s">
        <v>128</v>
      </c>
      <c r="K38" s="18"/>
      <c r="L38" s="18"/>
      <c r="M38" s="22" t="str">
        <f>Austragungsort</f>
        <v xml:space="preserve">Sporthalle Berlin</v>
      </c>
      <c r="N38" s="25"/>
      <c r="O38" s="25"/>
      <c r="P38" s="25"/>
      <c r="Q38" s="25"/>
      <c r="R38" s="20"/>
      <c r="S38" s="20"/>
      <c r="T38" s="20"/>
      <c r="V38" s="23"/>
      <c r="W38" s="23"/>
      <c r="Y38" s="26" t="s">
        <v>129</v>
      </c>
      <c r="Z38" s="27"/>
      <c r="AA38" s="28" t="s">
        <v>130</v>
      </c>
      <c r="AB38" s="27"/>
      <c r="AD38" s="29" t="s">
        <v>131</v>
      </c>
      <c r="AE38" s="17"/>
      <c r="AF38" s="17"/>
      <c r="AG38" s="17"/>
      <c r="AH38" s="17"/>
      <c r="AI38" s="17"/>
      <c r="AJ38" s="17"/>
      <c r="AK38" s="17"/>
      <c r="AL38" s="17"/>
      <c r="AM38" s="17"/>
    </row>
    <row r="39" s="11" customFormat="1" ht="21">
      <c r="A39" s="15"/>
      <c r="C39" s="24" t="s">
        <v>132</v>
      </c>
      <c r="L39" s="24" t="s">
        <v>133</v>
      </c>
      <c r="V39" s="23"/>
      <c r="W39" s="23"/>
      <c r="Y39" s="30">
        <v>1</v>
      </c>
      <c r="Z39" s="31" t="e">
        <f>VLOOKUP(CONCATENATE($D36," ",Y39),Setzlisten!$A:$E,5,0)</f>
        <v>#N/A</v>
      </c>
      <c r="AA39" s="30" t="e">
        <f>VLOOKUP(CONCATENATE($D38," ",Y39),Setzlisten!$A:$E,5,0)</f>
        <v>#N/A</v>
      </c>
      <c r="AB39" s="31">
        <v>1</v>
      </c>
      <c r="AD39" s="32" t="str">
        <f>CONCATENATE(A43,": ",D43," mit ",D44," - ",G43," mit ",G44,", ",I43,":",J43,", ",K43,":",L43,IF(M43="","",CONCATENATE(", ",M43,":",N43)),CHAR(10),A45,": ",D45," mit ",D46," - ",G45," mit ",G46,", ",I45,":",J45,", ",K45,":",L45,IF(M45="","",CONCATENATE(", ",M45,":",N45)),CHAR(10),A47,": ",D47," mit ",D48," - ",G47," mit ",G48,", ",I47,":",J47,", ",K47,":",L47,IF(M47="","",CONCATENATE(", ",M47,":",N47)),CHAR(10),A49,": ",D49," - ",G49,", ",I49,":",J49,", ",K49,":",L49,IF(M49="","",CONCATENATE(", ",M49,":",N49)),CHAR(10),A50,": ",D50," - ",G50,", ",I50,":",J50,", ",K50,":",L50,IF(M50="","",CONCATENATE(", ",M50,":",N50)))</f>
        <v xml:space="preserve">1. Doppel
1st Doubles:  mit  -  mit , :, :
2. Doppel
2nd Doubles:  mit  -  mit , :, :
3. Doppel
3rd Doubles:  mit  -  mit , :, :
1. Einzel
1st Singles:  - , :, :
2. Einzel
2nd Singles:  - , :, :</v>
      </c>
      <c r="AE39" s="17"/>
      <c r="AF39" s="17"/>
      <c r="AG39" s="17"/>
      <c r="AH39" s="17"/>
      <c r="AI39" s="17"/>
      <c r="AJ39" s="17"/>
      <c r="AK39" s="17"/>
      <c r="AL39" s="17"/>
      <c r="AM39" s="17"/>
    </row>
    <row r="40" s="11" customFormat="1" ht="26.25" customHeight="1">
      <c r="A40" s="33" t="s">
        <v>134</v>
      </c>
      <c r="B40" s="34"/>
      <c r="C40" s="35" t="s">
        <v>135</v>
      </c>
      <c r="D40" s="36" t="s">
        <v>136</v>
      </c>
      <c r="E40" s="37"/>
      <c r="F40" s="38" t="s">
        <v>135</v>
      </c>
      <c r="G40" s="39" t="s">
        <v>137</v>
      </c>
      <c r="H40" s="40"/>
      <c r="I40" s="41" t="s">
        <v>138</v>
      </c>
      <c r="J40" s="42"/>
      <c r="K40" s="41" t="s">
        <v>139</v>
      </c>
      <c r="L40" s="42"/>
      <c r="M40" s="43" t="s">
        <v>140</v>
      </c>
      <c r="N40" s="44"/>
      <c r="O40" s="45" t="s">
        <v>141</v>
      </c>
      <c r="P40" s="46"/>
      <c r="Q40" s="47" t="s">
        <v>142</v>
      </c>
      <c r="R40" s="48"/>
      <c r="S40" s="49" t="s">
        <v>143</v>
      </c>
      <c r="T40" s="50"/>
      <c r="V40" s="51" t="s">
        <v>144</v>
      </c>
      <c r="W40" s="52" t="s">
        <v>145</v>
      </c>
      <c r="Y40" s="30">
        <v>2</v>
      </c>
      <c r="Z40" s="31" t="e">
        <f>VLOOKUP(CONCATENATE($D36," ",Y40),Setzlisten!$A:$E,5,0)</f>
        <v>#N/A</v>
      </c>
      <c r="AA40" s="30" t="e">
        <f>VLOOKUP(CONCATENATE($D38," ",Y40),Setzlisten!$A:$E,5,0)</f>
        <v>#N/A</v>
      </c>
      <c r="AB40" s="31">
        <v>2</v>
      </c>
      <c r="AD40" s="32"/>
      <c r="AE40" s="17"/>
      <c r="AF40" s="17"/>
      <c r="AG40" s="17"/>
      <c r="AH40" s="17"/>
      <c r="AI40" s="17"/>
      <c r="AJ40" s="17"/>
      <c r="AK40" s="17"/>
      <c r="AL40" s="17"/>
      <c r="AM40" s="17"/>
    </row>
    <row r="41" s="11" customFormat="1" ht="29.25" customHeight="1">
      <c r="A41" s="53">
        <f>A10</f>
        <v>0.58333333333333337</v>
      </c>
      <c r="B41" s="34"/>
      <c r="C41" s="54"/>
      <c r="D41" s="55"/>
      <c r="E41" s="56"/>
      <c r="F41" s="57"/>
      <c r="G41" s="58"/>
      <c r="H41" s="40"/>
      <c r="I41" s="59"/>
      <c r="J41" s="60"/>
      <c r="K41" s="59"/>
      <c r="L41" s="60"/>
      <c r="M41" s="61"/>
      <c r="N41" s="62"/>
      <c r="O41" s="63" t="s">
        <v>146</v>
      </c>
      <c r="P41" s="64" t="s">
        <v>147</v>
      </c>
      <c r="Q41" s="65" t="s">
        <v>146</v>
      </c>
      <c r="R41" s="66" t="s">
        <v>147</v>
      </c>
      <c r="S41" s="64" t="s">
        <v>146</v>
      </c>
      <c r="T41" s="67" t="s">
        <v>147</v>
      </c>
      <c r="V41" s="68"/>
      <c r="W41" s="69"/>
      <c r="Y41" s="30">
        <v>3</v>
      </c>
      <c r="Z41" s="31" t="e">
        <f>VLOOKUP(CONCATENATE($D36," ",Y41),Setzlisten!$A:$E,5,0)</f>
        <v>#N/A</v>
      </c>
      <c r="AA41" s="30" t="e">
        <f>VLOOKUP(CONCATENATE($D38," ",Y41),Setzlisten!$A:$E,5,0)</f>
        <v>#N/A</v>
      </c>
      <c r="AB41" s="31">
        <v>3</v>
      </c>
      <c r="AD41" s="32"/>
      <c r="AE41" s="17"/>
      <c r="AF41" s="17"/>
      <c r="AG41" s="17"/>
      <c r="AH41" s="17"/>
      <c r="AI41" s="17"/>
      <c r="AJ41" s="17"/>
      <c r="AK41" s="17"/>
      <c r="AL41" s="17"/>
      <c r="AM41" s="17"/>
    </row>
    <row r="42" s="70" customFormat="1" ht="9">
      <c r="V42" s="30"/>
      <c r="W42" s="31"/>
      <c r="Y42" s="30">
        <v>4</v>
      </c>
      <c r="Z42" s="31" t="e">
        <f>VLOOKUP(CONCATENATE($D36," ",Y42),Setzlisten!$A:$E,5,0)</f>
        <v>#N/A</v>
      </c>
      <c r="AA42" s="30" t="e">
        <f>VLOOKUP(CONCATENATE($D38," ",Y42),Setzlisten!$A:$E,5,0)</f>
        <v>#N/A</v>
      </c>
      <c r="AB42" s="31">
        <v>4</v>
      </c>
      <c r="AD42" s="32"/>
    </row>
    <row r="43" s="11" customFormat="1" ht="24" customHeight="1">
      <c r="A43" s="71" t="s">
        <v>148</v>
      </c>
      <c r="C43" s="72">
        <f>IF(D43="",0,VLOOKUP(D43,$Z39:$AB53,3,0))</f>
        <v>0</v>
      </c>
      <c r="D43" s="73"/>
      <c r="E43" s="74"/>
      <c r="F43" s="75">
        <f>IF(G43="",0,VLOOKUP(G43,$AA39:$AB53,2,0))</f>
        <v>0</v>
      </c>
      <c r="G43" s="76"/>
      <c r="H43" s="148"/>
      <c r="I43" s="77"/>
      <c r="J43" s="78"/>
      <c r="K43" s="77"/>
      <c r="L43" s="78"/>
      <c r="M43" s="77"/>
      <c r="N43" s="79"/>
      <c r="O43" s="80" t="str">
        <f>IF(I43="","",SUM(I43,K43,M43))</f>
        <v/>
      </c>
      <c r="P43" s="81" t="str">
        <f>IF(J43="","",SUM(J43,L43,N43))</f>
        <v/>
      </c>
      <c r="Q43" s="82" t="str">
        <f>IF(I43="","",IF(I43&gt;J43,1,0)+IF(K43&gt;L43,1,0)+IF(M43="",0,IF(M43&gt;N43,1,0)))</f>
        <v/>
      </c>
      <c r="R43" s="83" t="str">
        <f>IF(I43="","",IF(J43&gt;I43,1,0)+IF(L43&gt;K43,1,0)+IF(M43="",0,IF(N43&gt;M43,1,0)))</f>
        <v/>
      </c>
      <c r="S43" s="84" t="str">
        <f>IF(I43="","",IF(Q43&gt;R43,1,0))</f>
        <v/>
      </c>
      <c r="T43" s="85" t="str">
        <f>IF(I43="","",IF(R43&gt;Q43,1,0))</f>
        <v/>
      </c>
      <c r="V43" s="86">
        <f>C43+C44</f>
        <v>0</v>
      </c>
      <c r="W43" s="87">
        <f>F43+F44</f>
        <v>0</v>
      </c>
      <c r="Y43" s="30">
        <v>5</v>
      </c>
      <c r="Z43" s="31" t="e">
        <f>VLOOKUP(CONCATENATE($D36," ",Y43),Setzlisten!$A:$E,5,0)</f>
        <v>#N/A</v>
      </c>
      <c r="AA43" s="30" t="e">
        <f>VLOOKUP(CONCATENATE($D38," ",Y43),Setzlisten!$A:$E,5,0)</f>
        <v>#N/A</v>
      </c>
      <c r="AB43" s="31">
        <v>5</v>
      </c>
      <c r="AD43" s="32"/>
    </row>
    <row r="44" s="11" customFormat="1" ht="24" customHeight="1">
      <c r="A44" s="88"/>
      <c r="C44" s="89">
        <f>IF(D44="",0,VLOOKUP(D44,$Z39:$AB53,3,0))</f>
        <v>0</v>
      </c>
      <c r="D44" s="90"/>
      <c r="E44" s="91"/>
      <c r="F44" s="92">
        <f>IF(G44="",0,VLOOKUP(G44,$AA39:$AB53,2,0))</f>
        <v>0</v>
      </c>
      <c r="G44" s="93"/>
      <c r="H44" s="148"/>
      <c r="I44" s="77"/>
      <c r="J44" s="78"/>
      <c r="K44" s="77"/>
      <c r="L44" s="78"/>
      <c r="M44" s="77"/>
      <c r="N44" s="79"/>
      <c r="O44" s="92"/>
      <c r="P44" s="94"/>
      <c r="Q44" s="89"/>
      <c r="R44" s="95"/>
      <c r="S44" s="96"/>
      <c r="T44" s="97"/>
      <c r="V44" s="98"/>
      <c r="W44" s="99"/>
      <c r="Y44" s="30">
        <v>6</v>
      </c>
      <c r="Z44" s="31" t="e">
        <f>VLOOKUP(CONCATENATE($D36," ",Y44),Setzlisten!$A:$E,5,0)</f>
        <v>#N/A</v>
      </c>
      <c r="AA44" s="30" t="e">
        <f>VLOOKUP(CONCATENATE($D38," ",Y44),Setzlisten!$A:$E,5,0)</f>
        <v>#N/A</v>
      </c>
      <c r="AB44" s="31">
        <v>6</v>
      </c>
      <c r="AD44" s="32"/>
    </row>
    <row r="45" s="11" customFormat="1" ht="24" customHeight="1">
      <c r="A45" s="71" t="s">
        <v>149</v>
      </c>
      <c r="C45" s="72">
        <f>IF(D45="",0,VLOOKUP(D45,$Z39:$AB53,3,0))</f>
        <v>0</v>
      </c>
      <c r="D45" s="73"/>
      <c r="E45" s="74"/>
      <c r="F45" s="75">
        <f>IF(G45="",0,VLOOKUP(G45,$AA39:$AB53,2,0))</f>
        <v>0</v>
      </c>
      <c r="G45" s="76"/>
      <c r="H45" s="148"/>
      <c r="I45" s="77"/>
      <c r="J45" s="100"/>
      <c r="K45" s="77"/>
      <c r="L45" s="78"/>
      <c r="M45" s="77"/>
      <c r="N45" s="79"/>
      <c r="O45" s="80" t="str">
        <f>IF(I45="","",SUM(I45,K45,M45))</f>
        <v/>
      </c>
      <c r="P45" s="81" t="str">
        <f t="shared" ref="P45:P50" si="101">IF(J45="","",SUM(J45,L45,N45))</f>
        <v/>
      </c>
      <c r="Q45" s="82" t="str">
        <f t="shared" ref="Q45:Q50" si="102">IF(I45="","",IF(I45&gt;J45,1,0)+IF(K45&gt;L45,1,0)+IF(M45="",0,IF(M45&gt;N45,1,0)))</f>
        <v/>
      </c>
      <c r="R45" s="83" t="str">
        <f t="shared" ref="R45:R50" si="103">IF(I45="","",IF(J45&gt;I45,1,0)+IF(L45&gt;K45,1,0)+IF(M45="",0,IF(N45&gt;M45,1,0)))</f>
        <v/>
      </c>
      <c r="S45" s="84" t="str">
        <f t="shared" ref="S45:S50" si="104">IF(I45="","",IF(Q45&gt;R45,1,0))</f>
        <v/>
      </c>
      <c r="T45" s="85" t="str">
        <f t="shared" ref="T45:T50" si="105">IF(I45="","",IF(R45&gt;Q45,1,0))</f>
        <v/>
      </c>
      <c r="V45" s="98">
        <f>C45+C46</f>
        <v>0</v>
      </c>
      <c r="W45" s="99">
        <f>F45+F46</f>
        <v>0</v>
      </c>
      <c r="Y45" s="30">
        <v>7</v>
      </c>
      <c r="Z45" s="31" t="e">
        <f>VLOOKUP(CONCATENATE($D36," ",Y45),Setzlisten!$A:$E,5,0)</f>
        <v>#N/A</v>
      </c>
      <c r="AA45" s="30" t="e">
        <f>VLOOKUP(CONCATENATE($D38," ",Y45),Setzlisten!$A:$E,5,0)</f>
        <v>#N/A</v>
      </c>
      <c r="AB45" s="31">
        <v>7</v>
      </c>
      <c r="AD45" s="101" t="s">
        <v>150</v>
      </c>
    </row>
    <row r="46" s="11" customFormat="1" ht="24" customHeight="1">
      <c r="A46" s="88"/>
      <c r="C46" s="89">
        <f>IF(D46="",0,VLOOKUP(D46,$Z39:$AB53,3,0))</f>
        <v>0</v>
      </c>
      <c r="D46" s="90"/>
      <c r="E46" s="91"/>
      <c r="F46" s="92">
        <f>IF(G46="",0,VLOOKUP(G46,$AA39:$AB53,2,0))</f>
        <v>0</v>
      </c>
      <c r="G46" s="93"/>
      <c r="H46" s="148"/>
      <c r="I46" s="77"/>
      <c r="J46" s="78"/>
      <c r="K46" s="77"/>
      <c r="L46" s="78"/>
      <c r="M46" s="77"/>
      <c r="N46" s="79"/>
      <c r="O46" s="92"/>
      <c r="P46" s="94"/>
      <c r="Q46" s="89"/>
      <c r="R46" s="95"/>
      <c r="S46" s="96"/>
      <c r="T46" s="97"/>
      <c r="V46" s="98"/>
      <c r="W46" s="99"/>
      <c r="Y46" s="30">
        <v>8</v>
      </c>
      <c r="Z46" s="31" t="e">
        <f>VLOOKUP(CONCATENATE($D36," ",Y46),Setzlisten!$A:$E,5,0)</f>
        <v>#N/A</v>
      </c>
      <c r="AA46" s="30" t="e">
        <f>VLOOKUP(CONCATENATE($D38," ",Y46),Setzlisten!$A:$E,5,0)</f>
        <v>#N/A</v>
      </c>
      <c r="AB46" s="31">
        <v>8</v>
      </c>
      <c r="AD46" s="101"/>
    </row>
    <row r="47" s="11" customFormat="1" ht="24" customHeight="1">
      <c r="A47" s="71" t="s">
        <v>151</v>
      </c>
      <c r="C47" s="72">
        <f>IF(D47="",0,VLOOKUP(D47,$Z39:$AB53,3,0))</f>
        <v>0</v>
      </c>
      <c r="D47" s="73"/>
      <c r="E47" s="74"/>
      <c r="F47" s="75">
        <f>IF(G47="",0,VLOOKUP(G47,$AA39:$AB53,2,0))</f>
        <v>0</v>
      </c>
      <c r="G47" s="76"/>
      <c r="H47" s="148"/>
      <c r="I47" s="77"/>
      <c r="J47" s="78"/>
      <c r="K47" s="77"/>
      <c r="L47" s="78"/>
      <c r="M47" s="77"/>
      <c r="N47" s="79"/>
      <c r="O47" s="80" t="str">
        <f>IF(I47="","",SUM(I47,K47,M47))</f>
        <v/>
      </c>
      <c r="P47" s="81" t="str">
        <f t="shared" si="101"/>
        <v/>
      </c>
      <c r="Q47" s="82" t="str">
        <f t="shared" si="102"/>
        <v/>
      </c>
      <c r="R47" s="83" t="str">
        <f t="shared" si="103"/>
        <v/>
      </c>
      <c r="S47" s="84" t="str">
        <f t="shared" si="104"/>
        <v/>
      </c>
      <c r="T47" s="85" t="str">
        <f t="shared" si="105"/>
        <v/>
      </c>
      <c r="V47" s="98">
        <f>C47+C48</f>
        <v>0</v>
      </c>
      <c r="W47" s="99">
        <f>F47+F48</f>
        <v>0</v>
      </c>
      <c r="Y47" s="30">
        <v>9</v>
      </c>
      <c r="Z47" s="31" t="e">
        <f>VLOOKUP(CONCATENATE($D36," ",Y47),Setzlisten!$A:$E,5,0)</f>
        <v>#N/A</v>
      </c>
      <c r="AA47" s="30" t="e">
        <f>VLOOKUP(CONCATENATE($D38," ",Y47),Setzlisten!$A:$E,5,0)</f>
        <v>#N/A</v>
      </c>
      <c r="AB47" s="31">
        <v>9</v>
      </c>
      <c r="AD47" s="32"/>
    </row>
    <row r="48" s="11" customFormat="1" ht="24" customHeight="1">
      <c r="A48" s="88"/>
      <c r="C48" s="89">
        <f>IF(D48="",0,VLOOKUP(D48,$Z39:$AB53,3,0))</f>
        <v>0</v>
      </c>
      <c r="D48" s="90"/>
      <c r="E48" s="91"/>
      <c r="F48" s="92">
        <f>IF(G48="",0,VLOOKUP(G48,$AA39:$AB53,2,0))</f>
        <v>0</v>
      </c>
      <c r="G48" s="93"/>
      <c r="H48" s="148"/>
      <c r="I48" s="77"/>
      <c r="J48" s="78"/>
      <c r="K48" s="77"/>
      <c r="L48" s="78"/>
      <c r="M48" s="77"/>
      <c r="N48" s="79"/>
      <c r="O48" s="92"/>
      <c r="P48" s="94"/>
      <c r="Q48" s="89"/>
      <c r="R48" s="95"/>
      <c r="S48" s="96"/>
      <c r="T48" s="97"/>
      <c r="V48" s="102"/>
      <c r="W48" s="103"/>
      <c r="Y48" s="30">
        <v>10</v>
      </c>
      <c r="Z48" s="31" t="e">
        <f>VLOOKUP(CONCATENATE($D36," ",Y48),Setzlisten!$A:$E,5,0)</f>
        <v>#N/A</v>
      </c>
      <c r="AA48" s="30" t="e">
        <f>VLOOKUP(CONCATENATE($D38," ",Y48),Setzlisten!$A:$E,5,0)</f>
        <v>#N/A</v>
      </c>
      <c r="AB48" s="31">
        <v>10</v>
      </c>
      <c r="AD48" s="32"/>
    </row>
    <row r="49" s="11" customFormat="1" ht="30" customHeight="1">
      <c r="A49" s="71" t="s">
        <v>152</v>
      </c>
      <c r="B49" s="104"/>
      <c r="C49" s="105">
        <f>IF(D49="",0,VLOOKUP(D49,$Z39:$AB53,3,0))</f>
        <v>0</v>
      </c>
      <c r="D49" s="106"/>
      <c r="E49" s="107"/>
      <c r="F49" s="108">
        <f>IF(G49="",0,VLOOKUP(G49,$AA39:$AB53,2,0))</f>
        <v>0</v>
      </c>
      <c r="G49" s="109"/>
      <c r="H49" s="148"/>
      <c r="I49" s="77"/>
      <c r="J49" s="78"/>
      <c r="K49" s="77"/>
      <c r="L49" s="78"/>
      <c r="M49" s="77"/>
      <c r="N49" s="79"/>
      <c r="O49" s="149" t="str">
        <f t="shared" ref="O49:O50" si="106">IF(I49="","",SUM(I49,K49,M49))</f>
        <v/>
      </c>
      <c r="P49" s="150" t="str">
        <f t="shared" si="101"/>
        <v/>
      </c>
      <c r="Q49" s="151" t="str">
        <f t="shared" si="102"/>
        <v/>
      </c>
      <c r="R49" s="152" t="str">
        <f t="shared" si="103"/>
        <v/>
      </c>
      <c r="S49" s="153" t="str">
        <f t="shared" si="104"/>
        <v/>
      </c>
      <c r="T49" s="154" t="str">
        <f t="shared" si="105"/>
        <v/>
      </c>
      <c r="V49" s="98">
        <f t="shared" ref="V49:V50" si="107">C49</f>
        <v>0</v>
      </c>
      <c r="W49" s="99">
        <f t="shared" ref="W49:W50" si="108">F49</f>
        <v>0</v>
      </c>
      <c r="Y49" s="30">
        <v>11</v>
      </c>
      <c r="Z49" s="31" t="e">
        <f>VLOOKUP(CONCATENATE($D36," ",Y49),Setzlisten!$A:$E,5,0)</f>
        <v>#N/A</v>
      </c>
      <c r="AA49" s="30" t="e">
        <f>VLOOKUP(CONCATENATE($D38," ",Y49),Setzlisten!$A:$E,5,0)</f>
        <v>#N/A</v>
      </c>
      <c r="AB49" s="31">
        <v>11</v>
      </c>
      <c r="AD49" s="32"/>
    </row>
    <row r="50" s="11" customFormat="1" ht="30" customHeight="1">
      <c r="A50" s="71" t="s">
        <v>153</v>
      </c>
      <c r="B50" s="104"/>
      <c r="C50" s="105">
        <f>IF(D50="",0,VLOOKUP(D50,$Z39:$AB53,3,0))</f>
        <v>0</v>
      </c>
      <c r="D50" s="106"/>
      <c r="E50" s="107"/>
      <c r="F50" s="108">
        <f>IF(G50="",0,VLOOKUP(G50,$AA39:$AB53,2,0))</f>
        <v>0</v>
      </c>
      <c r="G50" s="109"/>
      <c r="H50" s="148"/>
      <c r="I50" s="77"/>
      <c r="J50" s="78"/>
      <c r="K50" s="77"/>
      <c r="L50" s="78"/>
      <c r="M50" s="77"/>
      <c r="N50" s="79"/>
      <c r="O50" s="149" t="str">
        <f t="shared" si="106"/>
        <v/>
      </c>
      <c r="P50" s="150" t="str">
        <f t="shared" si="101"/>
        <v/>
      </c>
      <c r="Q50" s="151" t="str">
        <f t="shared" si="102"/>
        <v/>
      </c>
      <c r="R50" s="152" t="str">
        <f t="shared" si="103"/>
        <v/>
      </c>
      <c r="S50" s="153" t="str">
        <f t="shared" si="104"/>
        <v/>
      </c>
      <c r="T50" s="154" t="str">
        <f t="shared" si="105"/>
        <v/>
      </c>
      <c r="V50" s="102">
        <f t="shared" si="107"/>
        <v>0</v>
      </c>
      <c r="W50" s="103">
        <f t="shared" si="108"/>
        <v>0</v>
      </c>
      <c r="Y50" s="30">
        <v>12</v>
      </c>
      <c r="Z50" s="31" t="e">
        <f>VLOOKUP(CONCATENATE($D36," ",Y50),Setzlisten!$A:$E,5,0)</f>
        <v>#N/A</v>
      </c>
      <c r="AA50" s="30" t="e">
        <f>VLOOKUP(CONCATENATE($D38," ",Y50),Setzlisten!$A:$E,5,0)</f>
        <v>#N/A</v>
      </c>
      <c r="AB50" s="31">
        <v>12</v>
      </c>
      <c r="AD50" s="32"/>
    </row>
    <row r="51" s="70" customFormat="1" ht="9">
      <c r="Y51" s="30">
        <v>13</v>
      </c>
      <c r="Z51" s="31" t="e">
        <f>VLOOKUP(CONCATENATE($D36," ",Y51),Setzlisten!$A:$E,5,0)</f>
        <v>#N/A</v>
      </c>
      <c r="AA51" s="30" t="e">
        <f>VLOOKUP(CONCATENATE($D38," ",Y51),Setzlisten!$A:$E,5,0)</f>
        <v>#N/A</v>
      </c>
      <c r="AB51" s="31">
        <v>13</v>
      </c>
      <c r="AD51" s="32"/>
    </row>
    <row r="52" s="11" customFormat="1" ht="15.75">
      <c r="A52" s="114" t="s">
        <v>154</v>
      </c>
      <c r="B52" s="34"/>
      <c r="C52" s="115" t="s">
        <v>155</v>
      </c>
      <c r="D52" s="116"/>
      <c r="E52" s="117" t="str">
        <f>IF(S52="","",IF(S52&gt;T52,D36,D38))</f>
        <v/>
      </c>
      <c r="F52" s="118"/>
      <c r="G52" s="119"/>
      <c r="I52" s="115" t="s">
        <v>156</v>
      </c>
      <c r="J52" s="120"/>
      <c r="K52" s="120"/>
      <c r="L52" s="120"/>
      <c r="M52" s="120"/>
      <c r="N52" s="116"/>
      <c r="O52" s="82" t="str">
        <f t="shared" ref="O52:T52" si="109">IF(O43="","",SUM(O43:O50))</f>
        <v/>
      </c>
      <c r="P52" s="121" t="str">
        <f t="shared" si="109"/>
        <v/>
      </c>
      <c r="Q52" s="82" t="str">
        <f t="shared" si="109"/>
        <v/>
      </c>
      <c r="R52" s="121" t="str">
        <f t="shared" si="109"/>
        <v/>
      </c>
      <c r="S52" s="82" t="str">
        <f t="shared" si="109"/>
        <v/>
      </c>
      <c r="T52" s="122" t="str">
        <f t="shared" si="109"/>
        <v/>
      </c>
      <c r="Y52" s="30">
        <v>14</v>
      </c>
      <c r="Z52" s="31" t="e">
        <f>VLOOKUP(CONCATENATE($D36," ",Y52),Setzlisten!$A:$E,5,0)</f>
        <v>#N/A</v>
      </c>
      <c r="AA52" s="30" t="e">
        <f>VLOOKUP(CONCATENATE($D38," ",Y52),Setzlisten!$A:$E,5,0)</f>
        <v>#N/A</v>
      </c>
      <c r="AB52" s="31">
        <v>14</v>
      </c>
      <c r="AD52" s="32"/>
    </row>
    <row r="53" s="11" customFormat="1" ht="23.25">
      <c r="A53" s="53">
        <f>A22</f>
        <v>0.64583333333333337</v>
      </c>
      <c r="B53" s="34"/>
      <c r="C53" s="123"/>
      <c r="D53" s="124"/>
      <c r="E53" s="125"/>
      <c r="F53" s="126"/>
      <c r="G53" s="127"/>
      <c r="I53" s="123"/>
      <c r="J53" s="128"/>
      <c r="K53" s="128"/>
      <c r="L53" s="128"/>
      <c r="M53" s="128"/>
      <c r="N53" s="124"/>
      <c r="O53" s="129"/>
      <c r="P53" s="130"/>
      <c r="Q53" s="129"/>
      <c r="R53" s="130"/>
      <c r="S53" s="129"/>
      <c r="T53" s="131"/>
      <c r="Y53" s="132">
        <v>15</v>
      </c>
      <c r="Z53" s="133" t="e">
        <f>VLOOKUP(CONCATENATE($D36," ",Y53),Setzlisten!$A:$E,5,0)</f>
        <v>#N/A</v>
      </c>
      <c r="AA53" s="132" t="e">
        <f>VLOOKUP(CONCATENATE($D38," ",Y53),Setzlisten!$A:$E,5,0)</f>
        <v>#N/A</v>
      </c>
      <c r="AB53" s="133">
        <v>15</v>
      </c>
    </row>
    <row r="54" s="11" customFormat="1" ht="15" customHeight="1">
      <c r="A54" s="15"/>
    </row>
    <row r="55" s="11" customFormat="1" ht="30" customHeight="1">
      <c r="B55" s="21"/>
      <c r="C55" s="21"/>
      <c r="D55" s="134" t="s">
        <v>157</v>
      </c>
      <c r="E55" s="134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</row>
    <row r="56" s="11" customFormat="1">
      <c r="A56" s="14"/>
      <c r="P56" s="136"/>
      <c r="Q56" s="136"/>
      <c r="R56" s="136"/>
      <c r="S56" s="136"/>
      <c r="T56" s="136"/>
    </row>
    <row r="57" s="11" customFormat="1" ht="30" customHeight="1">
      <c r="A57" s="137" t="s">
        <v>158</v>
      </c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</row>
    <row r="58" s="11" customFormat="1" ht="36" customHeight="1">
      <c r="A58" s="139" t="str">
        <f>Allgemeines!$B$3</f>
        <v>Hamburg</v>
      </c>
      <c r="B58" s="139"/>
      <c r="C58" s="139"/>
      <c r="D58" s="139"/>
      <c r="E58" s="140">
        <f>Allgemeines!$B$4</f>
        <v>46023</v>
      </c>
      <c r="G58" s="141"/>
      <c r="J58" s="141"/>
      <c r="K58" s="141"/>
      <c r="L58" s="141"/>
      <c r="M58" s="141"/>
      <c r="N58" s="141"/>
      <c r="P58" s="141"/>
      <c r="Q58" s="141"/>
      <c r="R58" s="141"/>
      <c r="S58" s="141"/>
      <c r="T58" s="141"/>
    </row>
    <row r="59" s="11" customFormat="1">
      <c r="A59" s="142"/>
      <c r="B59" s="142"/>
      <c r="C59" s="142"/>
      <c r="D59" s="142"/>
      <c r="E59" s="143"/>
      <c r="G59" s="144"/>
      <c r="J59" s="144"/>
      <c r="K59" s="144"/>
      <c r="L59" s="144"/>
      <c r="M59" s="144"/>
      <c r="N59" s="144"/>
      <c r="P59" s="144"/>
      <c r="Q59" s="144"/>
      <c r="R59" s="144"/>
      <c r="S59" s="144"/>
      <c r="T59" s="144"/>
    </row>
    <row r="60" s="11" customFormat="1" ht="15.75">
      <c r="A60" s="145" t="s">
        <v>159</v>
      </c>
      <c r="B60" s="145"/>
      <c r="C60" s="145"/>
      <c r="D60" s="145"/>
      <c r="E60" s="145" t="s">
        <v>160</v>
      </c>
      <c r="F60" s="40"/>
      <c r="G60" s="145" t="s">
        <v>2</v>
      </c>
      <c r="H60" s="40"/>
      <c r="I60" s="40"/>
      <c r="J60" s="146" t="s">
        <v>161</v>
      </c>
      <c r="K60" s="146"/>
      <c r="L60" s="146"/>
      <c r="M60" s="146"/>
      <c r="N60" s="146"/>
      <c r="O60" s="40"/>
      <c r="P60" s="146" t="s">
        <v>162</v>
      </c>
      <c r="Q60" s="146"/>
      <c r="R60" s="146"/>
      <c r="S60" s="146"/>
      <c r="T60" s="146"/>
    </row>
    <row r="61">
      <c r="G61" s="147" t="s">
        <v>163</v>
      </c>
      <c r="J61" s="147" t="s">
        <v>164</v>
      </c>
      <c r="K61" s="147"/>
      <c r="L61" s="147"/>
      <c r="M61" s="147"/>
      <c r="N61" s="147"/>
      <c r="P61" s="147" t="s">
        <v>165</v>
      </c>
      <c r="Q61" s="147"/>
      <c r="R61" s="147"/>
      <c r="S61" s="147"/>
      <c r="T61" s="147"/>
    </row>
    <row r="62">
      <c r="G62" s="141" t="str">
        <f>Allgemeines!$D$2</f>
        <v xml:space="preserve">George Washington</v>
      </c>
      <c r="J62" s="141" t="str">
        <f>IF(D36="","",VLOOKUP(D36,Allgemeines!$B$7:$D$12,3,0))</f>
        <v/>
      </c>
      <c r="K62" s="141"/>
      <c r="L62" s="141"/>
      <c r="M62" s="141"/>
      <c r="N62" s="141"/>
      <c r="P62" s="141" t="str">
        <f>IF(D38="","",VLOOKUP(D38,Allgemeines!$B$7:$D$12,3,0))</f>
        <v/>
      </c>
      <c r="Q62" s="141"/>
      <c r="R62" s="141"/>
      <c r="S62" s="141"/>
      <c r="T62" s="141"/>
    </row>
    <row r="63" ht="21">
      <c r="A63" s="9" t="s">
        <v>120</v>
      </c>
      <c r="F63" s="10" t="str">
        <f>IF(V74&gt;V76,CONCATENATE("Achtung! Teamreihenfolge ",D67," nicht richtig! 1. und 2. Doppel tauschen."),IF(V76&gt;V78,CONCATENATE("Achtung! Teamreihenfolge ",D67," nicht richtig! 2. und 3. Doppel tauschen."),IF(AND(V80&gt;=V81,V81&gt;0),CONCATENATE("Achtung! Teamreihenfolge ",D67," nicht richtig! Beide Einzel tauschen."),IF(W74&gt;W76,CONCATENATE("Achtung! Teamreihenfolge ",D69," nicht richtig! 1. und 2. Doppel tauschen."),IF(W76&gt;W78,CONCATENATE("Achtung! Teamreihenfolge ",D69," nicht richtig! 2. und 3. Doppel tauschen."),IF(AND(W80&gt;=W81,W81&gt;0),CONCATENATE("Achtung! Teamreihenfolge ",D69," nicht richtig! Beide Einzel tauschen."),""))))))</f>
        <v/>
      </c>
      <c r="G63" s="10"/>
      <c r="H63" s="10"/>
      <c r="I63" s="10"/>
      <c r="J63" s="10"/>
      <c r="K63" s="10"/>
      <c r="L63" s="10"/>
      <c r="M63" s="10"/>
      <c r="N63" s="10"/>
    </row>
    <row r="64" s="11" customFormat="1" ht="26.25">
      <c r="A64" s="12" t="s">
        <v>121</v>
      </c>
      <c r="B64" s="12"/>
      <c r="C64" s="12"/>
      <c r="D64" s="12"/>
      <c r="E64" s="12"/>
      <c r="F64" s="10"/>
      <c r="G64" s="10"/>
      <c r="H64" s="10"/>
      <c r="I64" s="10"/>
      <c r="J64" s="10"/>
      <c r="K64" s="10"/>
      <c r="L64" s="10"/>
      <c r="M64" s="10"/>
      <c r="N64" s="10"/>
    </row>
    <row r="65" s="11" customFormat="1" ht="26.25">
      <c r="A65" s="13" t="s">
        <v>122</v>
      </c>
      <c r="B65" s="12"/>
      <c r="C65" s="12"/>
      <c r="D65" s="12"/>
      <c r="E65" s="12"/>
      <c r="F65" s="10"/>
      <c r="G65" s="10"/>
      <c r="H65" s="10"/>
      <c r="I65" s="10"/>
      <c r="J65" s="10"/>
      <c r="K65" s="10"/>
      <c r="L65" s="10"/>
      <c r="M65" s="10"/>
      <c r="N65" s="10"/>
    </row>
    <row r="66" s="14" customFormat="1" ht="15" customHeight="1">
      <c r="A66" s="15"/>
      <c r="M66" s="16"/>
      <c r="V66" s="14"/>
      <c r="W66" s="14"/>
      <c r="AD66" s="17"/>
    </row>
    <row r="67" s="11" customFormat="1" ht="21" customHeight="1">
      <c r="A67" s="18" t="s">
        <v>123</v>
      </c>
      <c r="B67" s="18"/>
      <c r="C67" s="18"/>
      <c r="D67" s="19"/>
      <c r="E67" s="19"/>
      <c r="F67" s="19"/>
      <c r="G67" s="19"/>
      <c r="H67" s="19"/>
      <c r="K67" s="20"/>
      <c r="L67" s="21" t="s">
        <v>124</v>
      </c>
      <c r="M67" s="22" t="str">
        <f>Gruppe</f>
        <v>II</v>
      </c>
      <c r="N67" s="20"/>
      <c r="O67" s="20"/>
      <c r="P67" s="20"/>
      <c r="Q67" s="20"/>
      <c r="R67" s="20"/>
      <c r="S67" s="20"/>
      <c r="T67" s="20"/>
      <c r="V67" s="11"/>
      <c r="W67" s="23"/>
      <c r="AD67" s="17"/>
    </row>
    <row r="68" s="14" customFormat="1" ht="21" customHeight="1">
      <c r="C68" s="24" t="s">
        <v>125</v>
      </c>
      <c r="L68" s="24" t="s">
        <v>126</v>
      </c>
      <c r="M68" s="16"/>
      <c r="N68" s="16"/>
      <c r="O68" s="16"/>
      <c r="P68" s="16"/>
      <c r="Q68" s="16"/>
      <c r="V68" s="23"/>
      <c r="W68" s="23"/>
      <c r="AD68" s="17"/>
    </row>
    <row r="69" s="11" customFormat="1" ht="21" customHeight="1">
      <c r="A69" s="18" t="s">
        <v>127</v>
      </c>
      <c r="B69" s="18"/>
      <c r="C69" s="18"/>
      <c r="D69" s="19"/>
      <c r="E69" s="19"/>
      <c r="F69" s="19"/>
      <c r="G69" s="19"/>
      <c r="H69" s="19"/>
      <c r="J69" s="18" t="s">
        <v>128</v>
      </c>
      <c r="K69" s="18"/>
      <c r="L69" s="18"/>
      <c r="M69" s="22" t="str">
        <f>Austragungsort</f>
        <v xml:space="preserve">Sporthalle Berlin</v>
      </c>
      <c r="N69" s="25"/>
      <c r="O69" s="25"/>
      <c r="P69" s="25"/>
      <c r="Q69" s="25"/>
      <c r="R69" s="20"/>
      <c r="S69" s="20"/>
      <c r="T69" s="20"/>
      <c r="V69" s="23"/>
      <c r="W69" s="23"/>
      <c r="Y69" s="26" t="s">
        <v>129</v>
      </c>
      <c r="Z69" s="27"/>
      <c r="AA69" s="28" t="s">
        <v>130</v>
      </c>
      <c r="AB69" s="27"/>
      <c r="AD69" s="29" t="s">
        <v>131</v>
      </c>
      <c r="AE69" s="17"/>
      <c r="AF69" s="17"/>
      <c r="AG69" s="17"/>
      <c r="AH69" s="17"/>
      <c r="AI69" s="17"/>
      <c r="AJ69" s="17"/>
      <c r="AK69" s="17"/>
      <c r="AL69" s="17"/>
      <c r="AM69" s="17"/>
    </row>
    <row r="70" s="11" customFormat="1" ht="21">
      <c r="A70" s="15"/>
      <c r="C70" s="24" t="s">
        <v>132</v>
      </c>
      <c r="L70" s="24" t="s">
        <v>133</v>
      </c>
      <c r="V70" s="23"/>
      <c r="W70" s="23"/>
      <c r="Y70" s="30">
        <v>1</v>
      </c>
      <c r="Z70" s="31" t="e">
        <f>VLOOKUP(CONCATENATE($D67," ",Y70),Setzlisten!$A:$E,5,0)</f>
        <v>#N/A</v>
      </c>
      <c r="AA70" s="30" t="e">
        <f>VLOOKUP(CONCATENATE($D69," ",Y70),Setzlisten!$A:$E,5,0)</f>
        <v>#N/A</v>
      </c>
      <c r="AB70" s="31">
        <v>1</v>
      </c>
      <c r="AD70" s="32" t="str">
        <f>CONCATENATE(A74,": ",D74," mit ",D75," - ",G74," mit ",G75,", ",I74,":",J74,", ",K74,":",L74,IF(M74="","",CONCATENATE(", ",M74,":",N74)),CHAR(10),A76,": ",D76," mit ",D77," - ",G76," mit ",G77,", ",I76,":",J76,", ",K76,":",L76,IF(M76="","",CONCATENATE(", ",M76,":",N76)),CHAR(10),A78,": ",D78," mit ",D79," - ",G78," mit ",G79,", ",I78,":",J78,", ",K78,":",L78,IF(M78="","",CONCATENATE(", ",M78,":",N78)),CHAR(10),A80,": ",D80," - ",G80,", ",I80,":",J80,", ",K80,":",L80,IF(M80="","",CONCATENATE(", ",M80,":",N80)),CHAR(10),A81,": ",D81," - ",G81,", ",I81,":",J81,", ",K81,":",L81,IF(M81="","",CONCATENATE(", ",M81,":",N81)))</f>
        <v xml:space="preserve">1. Doppel
1st Doubles:  mit  -  mit , :, :
2. Doppel
2nd Doubles:  mit  -  mit , :, :
3. Doppel
3rd Doubles:  mit  -  mit , :, :
1. Einzel
1st Singles:  - , :, :
2. Einzel
2nd Singles:  - , :, :</v>
      </c>
      <c r="AE70" s="17"/>
      <c r="AF70" s="17"/>
      <c r="AG70" s="17"/>
      <c r="AH70" s="17"/>
      <c r="AI70" s="17"/>
      <c r="AJ70" s="17"/>
      <c r="AK70" s="17"/>
      <c r="AL70" s="17"/>
      <c r="AM70" s="17"/>
    </row>
    <row r="71" s="11" customFormat="1" ht="26.25" customHeight="1">
      <c r="A71" s="33" t="s">
        <v>134</v>
      </c>
      <c r="B71" s="34"/>
      <c r="C71" s="35" t="s">
        <v>135</v>
      </c>
      <c r="D71" s="36" t="s">
        <v>136</v>
      </c>
      <c r="E71" s="37"/>
      <c r="F71" s="38" t="s">
        <v>135</v>
      </c>
      <c r="G71" s="39" t="s">
        <v>137</v>
      </c>
      <c r="H71" s="40"/>
      <c r="I71" s="41" t="s">
        <v>138</v>
      </c>
      <c r="J71" s="42"/>
      <c r="K71" s="41" t="s">
        <v>139</v>
      </c>
      <c r="L71" s="42"/>
      <c r="M71" s="43" t="s">
        <v>140</v>
      </c>
      <c r="N71" s="44"/>
      <c r="O71" s="45" t="s">
        <v>141</v>
      </c>
      <c r="P71" s="46"/>
      <c r="Q71" s="47" t="s">
        <v>142</v>
      </c>
      <c r="R71" s="48"/>
      <c r="S71" s="49" t="s">
        <v>143</v>
      </c>
      <c r="T71" s="50"/>
      <c r="V71" s="51" t="s">
        <v>144</v>
      </c>
      <c r="W71" s="52" t="s">
        <v>145</v>
      </c>
      <c r="Y71" s="30">
        <v>2</v>
      </c>
      <c r="Z71" s="31" t="e">
        <f>VLOOKUP(CONCATENATE($D67," ",Y71),Setzlisten!$A:$E,5,0)</f>
        <v>#N/A</v>
      </c>
      <c r="AA71" s="30" t="e">
        <f>VLOOKUP(CONCATENATE($D69," ",Y71),Setzlisten!$A:$E,5,0)</f>
        <v>#N/A</v>
      </c>
      <c r="AB71" s="31">
        <v>2</v>
      </c>
      <c r="AD71" s="32"/>
      <c r="AE71" s="17"/>
      <c r="AF71" s="17"/>
      <c r="AG71" s="17"/>
      <c r="AH71" s="17"/>
      <c r="AI71" s="17"/>
      <c r="AJ71" s="17"/>
      <c r="AK71" s="17"/>
      <c r="AL71" s="17"/>
      <c r="AM71" s="17"/>
    </row>
    <row r="72" s="11" customFormat="1" ht="29.25" customHeight="1">
      <c r="A72" s="53">
        <f>A41</f>
        <v>0.58333333333333337</v>
      </c>
      <c r="B72" s="34"/>
      <c r="C72" s="54"/>
      <c r="D72" s="55"/>
      <c r="E72" s="56"/>
      <c r="F72" s="57"/>
      <c r="G72" s="58"/>
      <c r="H72" s="40"/>
      <c r="I72" s="59"/>
      <c r="J72" s="60"/>
      <c r="K72" s="59"/>
      <c r="L72" s="60"/>
      <c r="M72" s="61"/>
      <c r="N72" s="62"/>
      <c r="O72" s="63" t="s">
        <v>146</v>
      </c>
      <c r="P72" s="64" t="s">
        <v>147</v>
      </c>
      <c r="Q72" s="65" t="s">
        <v>146</v>
      </c>
      <c r="R72" s="66" t="s">
        <v>147</v>
      </c>
      <c r="S72" s="64" t="s">
        <v>146</v>
      </c>
      <c r="T72" s="67" t="s">
        <v>147</v>
      </c>
      <c r="V72" s="68"/>
      <c r="W72" s="69"/>
      <c r="Y72" s="30">
        <v>3</v>
      </c>
      <c r="Z72" s="31" t="e">
        <f>VLOOKUP(CONCATENATE($D67," ",Y72),Setzlisten!$A:$E,5,0)</f>
        <v>#N/A</v>
      </c>
      <c r="AA72" s="30" t="e">
        <f>VLOOKUP(CONCATENATE($D69," ",Y72),Setzlisten!$A:$E,5,0)</f>
        <v>#N/A</v>
      </c>
      <c r="AB72" s="31">
        <v>3</v>
      </c>
      <c r="AD72" s="32"/>
      <c r="AE72" s="17"/>
      <c r="AF72" s="17"/>
      <c r="AG72" s="17"/>
      <c r="AH72" s="17"/>
      <c r="AI72" s="17"/>
      <c r="AJ72" s="17"/>
      <c r="AK72" s="17"/>
      <c r="AL72" s="17"/>
      <c r="AM72" s="17"/>
    </row>
    <row r="73" s="70" customFormat="1" ht="9">
      <c r="V73" s="30"/>
      <c r="W73" s="31"/>
      <c r="Y73" s="30">
        <v>4</v>
      </c>
      <c r="Z73" s="31" t="e">
        <f>VLOOKUP(CONCATENATE($D67," ",Y73),Setzlisten!$A:$E,5,0)</f>
        <v>#N/A</v>
      </c>
      <c r="AA73" s="30" t="e">
        <f>VLOOKUP(CONCATENATE($D69," ",Y73),Setzlisten!$A:$E,5,0)</f>
        <v>#N/A</v>
      </c>
      <c r="AB73" s="31">
        <v>4</v>
      </c>
      <c r="AD73" s="32"/>
    </row>
    <row r="74" s="11" customFormat="1" ht="24" customHeight="1">
      <c r="A74" s="71" t="s">
        <v>148</v>
      </c>
      <c r="C74" s="72">
        <f>IF(D74="",0,VLOOKUP(D74,$Z70:$AB84,3,0))</f>
        <v>0</v>
      </c>
      <c r="D74" s="73"/>
      <c r="E74" s="74"/>
      <c r="F74" s="75">
        <f>IF(G74="",0,VLOOKUP(G74,$AA70:$AB84,2,0))</f>
        <v>0</v>
      </c>
      <c r="G74" s="76"/>
      <c r="H74" s="148"/>
      <c r="I74" s="77"/>
      <c r="J74" s="78"/>
      <c r="K74" s="77"/>
      <c r="L74" s="78"/>
      <c r="M74" s="77"/>
      <c r="N74" s="79"/>
      <c r="O74" s="80" t="str">
        <f>IF(I74="","",SUM(I74,K74,M74))</f>
        <v/>
      </c>
      <c r="P74" s="81" t="str">
        <f>IF(J74="","",SUM(J74,L74,N74))</f>
        <v/>
      </c>
      <c r="Q74" s="82" t="str">
        <f>IF(I74="","",IF(I74&gt;J74,1,0)+IF(K74&gt;L74,1,0)+IF(M74="",0,IF(M74&gt;N74,1,0)))</f>
        <v/>
      </c>
      <c r="R74" s="83" t="str">
        <f>IF(I74="","",IF(J74&gt;I74,1,0)+IF(L74&gt;K74,1,0)+IF(M74="",0,IF(N74&gt;M74,1,0)))</f>
        <v/>
      </c>
      <c r="S74" s="84" t="str">
        <f>IF(I74="","",IF(Q74&gt;R74,1,0))</f>
        <v/>
      </c>
      <c r="T74" s="85" t="str">
        <f>IF(I74="","",IF(R74&gt;Q74,1,0))</f>
        <v/>
      </c>
      <c r="V74" s="86">
        <f>C74+C75</f>
        <v>0</v>
      </c>
      <c r="W74" s="87">
        <f>F74+F75</f>
        <v>0</v>
      </c>
      <c r="Y74" s="30">
        <v>5</v>
      </c>
      <c r="Z74" s="31" t="e">
        <f>VLOOKUP(CONCATENATE($D67," ",Y74),Setzlisten!$A:$E,5,0)</f>
        <v>#N/A</v>
      </c>
      <c r="AA74" s="30" t="e">
        <f>VLOOKUP(CONCATENATE($D69," ",Y74),Setzlisten!$A:$E,5,0)</f>
        <v>#N/A</v>
      </c>
      <c r="AB74" s="31">
        <v>5</v>
      </c>
      <c r="AD74" s="32"/>
    </row>
    <row r="75" s="11" customFormat="1" ht="24" customHeight="1">
      <c r="A75" s="88"/>
      <c r="C75" s="89">
        <f>IF(D75="",0,VLOOKUP(D75,$Z70:$AB84,3,0))</f>
        <v>0</v>
      </c>
      <c r="D75" s="90"/>
      <c r="E75" s="91"/>
      <c r="F75" s="92">
        <f>IF(G75="",0,VLOOKUP(G75,$AA70:$AB84,2,0))</f>
        <v>0</v>
      </c>
      <c r="G75" s="93"/>
      <c r="H75" s="148"/>
      <c r="I75" s="77"/>
      <c r="J75" s="78"/>
      <c r="K75" s="77"/>
      <c r="L75" s="78"/>
      <c r="M75" s="77"/>
      <c r="N75" s="79"/>
      <c r="O75" s="92"/>
      <c r="P75" s="94"/>
      <c r="Q75" s="89"/>
      <c r="R75" s="95"/>
      <c r="S75" s="96"/>
      <c r="T75" s="97"/>
      <c r="V75" s="98"/>
      <c r="W75" s="99"/>
      <c r="Y75" s="30">
        <v>6</v>
      </c>
      <c r="Z75" s="31" t="e">
        <f>VLOOKUP(CONCATENATE($D67," ",Y75),Setzlisten!$A:$E,5,0)</f>
        <v>#N/A</v>
      </c>
      <c r="AA75" s="30" t="e">
        <f>VLOOKUP(CONCATENATE($D69," ",Y75),Setzlisten!$A:$E,5,0)</f>
        <v>#N/A</v>
      </c>
      <c r="AB75" s="31">
        <v>6</v>
      </c>
      <c r="AD75" s="32"/>
    </row>
    <row r="76" s="11" customFormat="1" ht="24" customHeight="1">
      <c r="A76" s="71" t="s">
        <v>149</v>
      </c>
      <c r="C76" s="72">
        <f>IF(D76="",0,VLOOKUP(D76,$Z70:$AB84,3,0))</f>
        <v>0</v>
      </c>
      <c r="D76" s="73"/>
      <c r="E76" s="74"/>
      <c r="F76" s="75">
        <f>IF(G76="",0,VLOOKUP(G76,$AA70:$AB84,2,0))</f>
        <v>0</v>
      </c>
      <c r="G76" s="76"/>
      <c r="H76" s="148"/>
      <c r="I76" s="77"/>
      <c r="J76" s="100"/>
      <c r="K76" s="77"/>
      <c r="L76" s="78"/>
      <c r="M76" s="77"/>
      <c r="N76" s="79"/>
      <c r="O76" s="80" t="str">
        <f>IF(I76="","",SUM(I76,K76,M76))</f>
        <v/>
      </c>
      <c r="P76" s="81" t="str">
        <f t="shared" ref="P76:P81" si="110">IF(J76="","",SUM(J76,L76,N76))</f>
        <v/>
      </c>
      <c r="Q76" s="82" t="str">
        <f t="shared" ref="Q76:Q81" si="111">IF(I76="","",IF(I76&gt;J76,1,0)+IF(K76&gt;L76,1,0)+IF(M76="",0,IF(M76&gt;N76,1,0)))</f>
        <v/>
      </c>
      <c r="R76" s="83" t="str">
        <f t="shared" ref="R76:R81" si="112">IF(I76="","",IF(J76&gt;I76,1,0)+IF(L76&gt;K76,1,0)+IF(M76="",0,IF(N76&gt;M76,1,0)))</f>
        <v/>
      </c>
      <c r="S76" s="84" t="str">
        <f t="shared" ref="S76:S81" si="113">IF(I76="","",IF(Q76&gt;R76,1,0))</f>
        <v/>
      </c>
      <c r="T76" s="85" t="str">
        <f t="shared" ref="T76:T81" si="114">IF(I76="","",IF(R76&gt;Q76,1,0))</f>
        <v/>
      </c>
      <c r="V76" s="98">
        <f>C76+C77</f>
        <v>0</v>
      </c>
      <c r="W76" s="99">
        <f>F76+F77</f>
        <v>0</v>
      </c>
      <c r="Y76" s="30">
        <v>7</v>
      </c>
      <c r="Z76" s="31" t="e">
        <f>VLOOKUP(CONCATENATE($D67," ",Y76),Setzlisten!$A:$E,5,0)</f>
        <v>#N/A</v>
      </c>
      <c r="AA76" s="30" t="e">
        <f>VLOOKUP(CONCATENATE($D69," ",Y76),Setzlisten!$A:$E,5,0)</f>
        <v>#N/A</v>
      </c>
      <c r="AB76" s="31">
        <v>7</v>
      </c>
      <c r="AD76" s="101" t="s">
        <v>150</v>
      </c>
    </row>
    <row r="77" s="11" customFormat="1" ht="24" customHeight="1">
      <c r="A77" s="88"/>
      <c r="C77" s="89">
        <f>IF(D77="",0,VLOOKUP(D77,$Z70:$AB84,3,0))</f>
        <v>0</v>
      </c>
      <c r="D77" s="90"/>
      <c r="E77" s="91"/>
      <c r="F77" s="92">
        <f>IF(G77="",0,VLOOKUP(G77,$AA70:$AB84,2,0))</f>
        <v>0</v>
      </c>
      <c r="G77" s="93"/>
      <c r="H77" s="148"/>
      <c r="I77" s="77"/>
      <c r="J77" s="78"/>
      <c r="K77" s="77"/>
      <c r="L77" s="78"/>
      <c r="M77" s="77"/>
      <c r="N77" s="79"/>
      <c r="O77" s="92"/>
      <c r="P77" s="94"/>
      <c r="Q77" s="89"/>
      <c r="R77" s="95"/>
      <c r="S77" s="96"/>
      <c r="T77" s="97"/>
      <c r="V77" s="98"/>
      <c r="W77" s="99"/>
      <c r="Y77" s="30">
        <v>8</v>
      </c>
      <c r="Z77" s="31" t="e">
        <f>VLOOKUP(CONCATENATE($D67," ",Y77),Setzlisten!$A:$E,5,0)</f>
        <v>#N/A</v>
      </c>
      <c r="AA77" s="30" t="e">
        <f>VLOOKUP(CONCATENATE($D69," ",Y77),Setzlisten!$A:$E,5,0)</f>
        <v>#N/A</v>
      </c>
      <c r="AB77" s="31">
        <v>8</v>
      </c>
      <c r="AD77" s="101"/>
    </row>
    <row r="78" s="11" customFormat="1" ht="24" customHeight="1">
      <c r="A78" s="71" t="s">
        <v>151</v>
      </c>
      <c r="C78" s="72">
        <f>IF(D78="",0,VLOOKUP(D78,$Z70:$AB84,3,0))</f>
        <v>0</v>
      </c>
      <c r="D78" s="73"/>
      <c r="E78" s="74"/>
      <c r="F78" s="75">
        <f>IF(G78="",0,VLOOKUP(G78,$AA70:$AB84,2,0))</f>
        <v>0</v>
      </c>
      <c r="G78" s="76"/>
      <c r="H78" s="148"/>
      <c r="I78" s="77"/>
      <c r="J78" s="78"/>
      <c r="K78" s="77"/>
      <c r="L78" s="78"/>
      <c r="M78" s="77"/>
      <c r="N78" s="79"/>
      <c r="O78" s="80" t="str">
        <f>IF(I78="","",SUM(I78,K78,M78))</f>
        <v/>
      </c>
      <c r="P78" s="81" t="str">
        <f t="shared" si="110"/>
        <v/>
      </c>
      <c r="Q78" s="82" t="str">
        <f t="shared" si="111"/>
        <v/>
      </c>
      <c r="R78" s="83" t="str">
        <f t="shared" si="112"/>
        <v/>
      </c>
      <c r="S78" s="84" t="str">
        <f t="shared" si="113"/>
        <v/>
      </c>
      <c r="T78" s="85" t="str">
        <f t="shared" si="114"/>
        <v/>
      </c>
      <c r="V78" s="98">
        <f>C78+C79</f>
        <v>0</v>
      </c>
      <c r="W78" s="99">
        <f>F78+F79</f>
        <v>0</v>
      </c>
      <c r="Y78" s="30">
        <v>9</v>
      </c>
      <c r="Z78" s="31" t="e">
        <f>VLOOKUP(CONCATENATE($D67," ",Y78),Setzlisten!$A:$E,5,0)</f>
        <v>#N/A</v>
      </c>
      <c r="AA78" s="30" t="e">
        <f>VLOOKUP(CONCATENATE($D69," ",Y78),Setzlisten!$A:$E,5,0)</f>
        <v>#N/A</v>
      </c>
      <c r="AB78" s="31">
        <v>9</v>
      </c>
      <c r="AD78" s="32"/>
    </row>
    <row r="79" s="11" customFormat="1" ht="24" customHeight="1">
      <c r="A79" s="88"/>
      <c r="C79" s="89">
        <f>IF(D79="",0,VLOOKUP(D79,$Z70:$AB84,3,0))</f>
        <v>0</v>
      </c>
      <c r="D79" s="90"/>
      <c r="E79" s="91"/>
      <c r="F79" s="92">
        <f>IF(G79="",0,VLOOKUP(G79,$AA70:$AB84,2,0))</f>
        <v>0</v>
      </c>
      <c r="G79" s="93"/>
      <c r="H79" s="148"/>
      <c r="I79" s="77"/>
      <c r="J79" s="78"/>
      <c r="K79" s="77"/>
      <c r="L79" s="78"/>
      <c r="M79" s="77"/>
      <c r="N79" s="79"/>
      <c r="O79" s="92"/>
      <c r="P79" s="94"/>
      <c r="Q79" s="89"/>
      <c r="R79" s="95"/>
      <c r="S79" s="96"/>
      <c r="T79" s="97"/>
      <c r="V79" s="102"/>
      <c r="W79" s="103"/>
      <c r="Y79" s="30">
        <v>10</v>
      </c>
      <c r="Z79" s="31" t="e">
        <f>VLOOKUP(CONCATENATE($D67," ",Y79),Setzlisten!$A:$E,5,0)</f>
        <v>#N/A</v>
      </c>
      <c r="AA79" s="30" t="e">
        <f>VLOOKUP(CONCATENATE($D69," ",Y79),Setzlisten!$A:$E,5,0)</f>
        <v>#N/A</v>
      </c>
      <c r="AB79" s="31">
        <v>10</v>
      </c>
      <c r="AD79" s="32"/>
    </row>
    <row r="80" s="11" customFormat="1" ht="30" customHeight="1">
      <c r="A80" s="71" t="s">
        <v>152</v>
      </c>
      <c r="B80" s="104"/>
      <c r="C80" s="105">
        <f>IF(D80="",0,VLOOKUP(D80,$Z70:$AB84,3,0))</f>
        <v>0</v>
      </c>
      <c r="D80" s="106"/>
      <c r="E80" s="107"/>
      <c r="F80" s="108">
        <f>IF(G80="",0,VLOOKUP(G80,$AA70:$AB84,2,0))</f>
        <v>0</v>
      </c>
      <c r="G80" s="109"/>
      <c r="H80" s="148"/>
      <c r="I80" s="77"/>
      <c r="J80" s="78"/>
      <c r="K80" s="77"/>
      <c r="L80" s="78"/>
      <c r="M80" s="77"/>
      <c r="N80" s="79"/>
      <c r="O80" s="149" t="str">
        <f t="shared" ref="O80:O81" si="115">IF(I80="","",SUM(I80,K80,M80))</f>
        <v/>
      </c>
      <c r="P80" s="150" t="str">
        <f t="shared" si="110"/>
        <v/>
      </c>
      <c r="Q80" s="151" t="str">
        <f t="shared" si="111"/>
        <v/>
      </c>
      <c r="R80" s="152" t="str">
        <f t="shared" si="112"/>
        <v/>
      </c>
      <c r="S80" s="153" t="str">
        <f t="shared" si="113"/>
        <v/>
      </c>
      <c r="T80" s="154" t="str">
        <f t="shared" si="114"/>
        <v/>
      </c>
      <c r="V80" s="98">
        <f t="shared" ref="V80:V81" si="116">C80</f>
        <v>0</v>
      </c>
      <c r="W80" s="99">
        <f t="shared" ref="W80:W81" si="117">F80</f>
        <v>0</v>
      </c>
      <c r="Y80" s="30">
        <v>11</v>
      </c>
      <c r="Z80" s="31" t="e">
        <f>VLOOKUP(CONCATENATE($D67," ",Y80),Setzlisten!$A:$E,5,0)</f>
        <v>#N/A</v>
      </c>
      <c r="AA80" s="30" t="e">
        <f>VLOOKUP(CONCATENATE($D69," ",Y80),Setzlisten!$A:$E,5,0)</f>
        <v>#N/A</v>
      </c>
      <c r="AB80" s="31">
        <v>11</v>
      </c>
      <c r="AD80" s="32"/>
    </row>
    <row r="81" s="11" customFormat="1" ht="30" customHeight="1">
      <c r="A81" s="71" t="s">
        <v>153</v>
      </c>
      <c r="B81" s="104"/>
      <c r="C81" s="105">
        <f>IF(D81="",0,VLOOKUP(D81,$Z70:$AB84,3,0))</f>
        <v>0</v>
      </c>
      <c r="D81" s="106"/>
      <c r="E81" s="107"/>
      <c r="F81" s="108">
        <f>IF(G81="",0,VLOOKUP(G81,$AA70:$AB84,2,0))</f>
        <v>0</v>
      </c>
      <c r="G81" s="109"/>
      <c r="H81" s="148"/>
      <c r="I81" s="77"/>
      <c r="J81" s="78"/>
      <c r="K81" s="77"/>
      <c r="L81" s="78"/>
      <c r="M81" s="77"/>
      <c r="N81" s="79"/>
      <c r="O81" s="149" t="str">
        <f t="shared" si="115"/>
        <v/>
      </c>
      <c r="P81" s="150" t="str">
        <f t="shared" si="110"/>
        <v/>
      </c>
      <c r="Q81" s="151" t="str">
        <f t="shared" si="111"/>
        <v/>
      </c>
      <c r="R81" s="152" t="str">
        <f t="shared" si="112"/>
        <v/>
      </c>
      <c r="S81" s="153" t="str">
        <f t="shared" si="113"/>
        <v/>
      </c>
      <c r="T81" s="154" t="str">
        <f t="shared" si="114"/>
        <v/>
      </c>
      <c r="V81" s="102">
        <f t="shared" si="116"/>
        <v>0</v>
      </c>
      <c r="W81" s="103">
        <f t="shared" si="117"/>
        <v>0</v>
      </c>
      <c r="Y81" s="30">
        <v>12</v>
      </c>
      <c r="Z81" s="31" t="e">
        <f>VLOOKUP(CONCATENATE($D67," ",Y81),Setzlisten!$A:$E,5,0)</f>
        <v>#N/A</v>
      </c>
      <c r="AA81" s="30" t="e">
        <f>VLOOKUP(CONCATENATE($D69," ",Y81),Setzlisten!$A:$E,5,0)</f>
        <v>#N/A</v>
      </c>
      <c r="AB81" s="31">
        <v>12</v>
      </c>
      <c r="AD81" s="32"/>
    </row>
    <row r="82" s="70" customFormat="1" ht="9">
      <c r="Y82" s="30">
        <v>13</v>
      </c>
      <c r="Z82" s="31" t="e">
        <f>VLOOKUP(CONCATENATE($D67," ",Y82),Setzlisten!$A:$E,5,0)</f>
        <v>#N/A</v>
      </c>
      <c r="AA82" s="30" t="e">
        <f>VLOOKUP(CONCATENATE($D69," ",Y82),Setzlisten!$A:$E,5,0)</f>
        <v>#N/A</v>
      </c>
      <c r="AB82" s="31">
        <v>13</v>
      </c>
      <c r="AD82" s="32"/>
    </row>
    <row r="83" s="11" customFormat="1" ht="15.75">
      <c r="A83" s="114" t="s">
        <v>154</v>
      </c>
      <c r="B83" s="34"/>
      <c r="C83" s="115" t="s">
        <v>155</v>
      </c>
      <c r="D83" s="116"/>
      <c r="E83" s="117" t="str">
        <f>IF(S83="","",IF(S83&gt;T83,D67,D69))</f>
        <v/>
      </c>
      <c r="F83" s="118"/>
      <c r="G83" s="119"/>
      <c r="I83" s="115" t="s">
        <v>156</v>
      </c>
      <c r="J83" s="120"/>
      <c r="K83" s="120"/>
      <c r="L83" s="120"/>
      <c r="M83" s="120"/>
      <c r="N83" s="116"/>
      <c r="O83" s="82" t="str">
        <f t="shared" ref="O83:T83" si="118">IF(O74="","",SUM(O74:O81))</f>
        <v/>
      </c>
      <c r="P83" s="121" t="str">
        <f t="shared" si="118"/>
        <v/>
      </c>
      <c r="Q83" s="82" t="str">
        <f t="shared" si="118"/>
        <v/>
      </c>
      <c r="R83" s="121" t="str">
        <f t="shared" si="118"/>
        <v/>
      </c>
      <c r="S83" s="82" t="str">
        <f t="shared" si="118"/>
        <v/>
      </c>
      <c r="T83" s="122" t="str">
        <f t="shared" si="118"/>
        <v/>
      </c>
      <c r="Y83" s="30">
        <v>14</v>
      </c>
      <c r="Z83" s="31" t="e">
        <f>VLOOKUP(CONCATENATE($D67," ",Y83),Setzlisten!$A:$E,5,0)</f>
        <v>#N/A</v>
      </c>
      <c r="AA83" s="30" t="e">
        <f>VLOOKUP(CONCATENATE($D69," ",Y83),Setzlisten!$A:$E,5,0)</f>
        <v>#N/A</v>
      </c>
      <c r="AB83" s="31">
        <v>14</v>
      </c>
      <c r="AD83" s="32"/>
    </row>
    <row r="84" s="11" customFormat="1" ht="23.25">
      <c r="A84" s="53">
        <f>A53</f>
        <v>0.64583333333333337</v>
      </c>
      <c r="B84" s="34"/>
      <c r="C84" s="123"/>
      <c r="D84" s="124"/>
      <c r="E84" s="125"/>
      <c r="F84" s="126"/>
      <c r="G84" s="127"/>
      <c r="I84" s="123"/>
      <c r="J84" s="128"/>
      <c r="K84" s="128"/>
      <c r="L84" s="128"/>
      <c r="M84" s="128"/>
      <c r="N84" s="124"/>
      <c r="O84" s="129"/>
      <c r="P84" s="130"/>
      <c r="Q84" s="129"/>
      <c r="R84" s="130"/>
      <c r="S84" s="129"/>
      <c r="T84" s="131"/>
      <c r="Y84" s="132">
        <v>15</v>
      </c>
      <c r="Z84" s="133" t="e">
        <f>VLOOKUP(CONCATENATE($D67," ",Y84),Setzlisten!$A:$E,5,0)</f>
        <v>#N/A</v>
      </c>
      <c r="AA84" s="132" t="e">
        <f>VLOOKUP(CONCATENATE($D69," ",Y84),Setzlisten!$A:$E,5,0)</f>
        <v>#N/A</v>
      </c>
      <c r="AB84" s="133">
        <v>15</v>
      </c>
    </row>
    <row r="85" s="11" customFormat="1" ht="15" customHeight="1">
      <c r="A85" s="15"/>
    </row>
    <row r="86" s="11" customFormat="1" ht="30" customHeight="1">
      <c r="B86" s="21"/>
      <c r="C86" s="21"/>
      <c r="D86" s="134" t="s">
        <v>157</v>
      </c>
      <c r="E86" s="134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</row>
    <row r="87" s="11" customFormat="1">
      <c r="A87" s="14"/>
      <c r="P87" s="136"/>
      <c r="Q87" s="136"/>
      <c r="R87" s="136"/>
      <c r="S87" s="136"/>
      <c r="T87" s="136"/>
    </row>
    <row r="88" s="11" customFormat="1" ht="30" customHeight="1">
      <c r="A88" s="137" t="s">
        <v>158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</row>
    <row r="89" s="11" customFormat="1" ht="36" customHeight="1">
      <c r="A89" s="139" t="str">
        <f>Allgemeines!$B$3</f>
        <v>Hamburg</v>
      </c>
      <c r="B89" s="139"/>
      <c r="C89" s="139"/>
      <c r="D89" s="139"/>
      <c r="E89" s="140">
        <f>Allgemeines!$B$4</f>
        <v>46023</v>
      </c>
      <c r="G89" s="141"/>
      <c r="J89" s="141"/>
      <c r="K89" s="141"/>
      <c r="L89" s="141"/>
      <c r="M89" s="141"/>
      <c r="N89" s="141"/>
      <c r="P89" s="141"/>
      <c r="Q89" s="141"/>
      <c r="R89" s="141"/>
      <c r="S89" s="141"/>
      <c r="T89" s="141"/>
    </row>
    <row r="90" s="11" customFormat="1">
      <c r="A90" s="142"/>
      <c r="B90" s="142"/>
      <c r="C90" s="142"/>
      <c r="D90" s="142"/>
      <c r="E90" s="143"/>
      <c r="G90" s="144"/>
      <c r="J90" s="144"/>
      <c r="K90" s="144"/>
      <c r="L90" s="144"/>
      <c r="M90" s="144"/>
      <c r="N90" s="144"/>
      <c r="P90" s="144"/>
      <c r="Q90" s="144"/>
      <c r="R90" s="144"/>
      <c r="S90" s="144"/>
      <c r="T90" s="144"/>
    </row>
    <row r="91" s="11" customFormat="1" ht="15.75">
      <c r="A91" s="145" t="s">
        <v>159</v>
      </c>
      <c r="B91" s="145"/>
      <c r="C91" s="145"/>
      <c r="D91" s="145"/>
      <c r="E91" s="145" t="s">
        <v>160</v>
      </c>
      <c r="F91" s="40"/>
      <c r="G91" s="145" t="s">
        <v>2</v>
      </c>
      <c r="H91" s="40"/>
      <c r="I91" s="40"/>
      <c r="J91" s="146" t="s">
        <v>161</v>
      </c>
      <c r="K91" s="146"/>
      <c r="L91" s="146"/>
      <c r="M91" s="146"/>
      <c r="N91" s="146"/>
      <c r="O91" s="40"/>
      <c r="P91" s="146" t="s">
        <v>162</v>
      </c>
      <c r="Q91" s="146"/>
      <c r="R91" s="146"/>
      <c r="S91" s="146"/>
      <c r="T91" s="146"/>
    </row>
    <row r="92">
      <c r="G92" s="147" t="s">
        <v>163</v>
      </c>
      <c r="J92" s="147" t="s">
        <v>164</v>
      </c>
      <c r="K92" s="147"/>
      <c r="L92" s="147"/>
      <c r="M92" s="147"/>
      <c r="N92" s="147"/>
      <c r="P92" s="147" t="s">
        <v>165</v>
      </c>
      <c r="Q92" s="147"/>
      <c r="R92" s="147"/>
      <c r="S92" s="147"/>
      <c r="T92" s="147"/>
    </row>
    <row r="93">
      <c r="G93" s="141" t="str">
        <f>Allgemeines!$D$2</f>
        <v xml:space="preserve">George Washington</v>
      </c>
      <c r="J93" s="141" t="str">
        <f>IF(D67="","",VLOOKUP(D67,Allgemeines!$B$7:$D$12,3,0))</f>
        <v/>
      </c>
      <c r="K93" s="141"/>
      <c r="L93" s="141"/>
      <c r="M93" s="141"/>
      <c r="N93" s="141"/>
      <c r="P93" s="141" t="str">
        <f>IF(D69="","",VLOOKUP(D69,Allgemeines!$B$7:$D$12,3,0))</f>
        <v/>
      </c>
      <c r="Q93" s="141"/>
      <c r="R93" s="141"/>
      <c r="S93" s="141"/>
      <c r="T93" s="141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97">
    <mergeCell ref="F1:N3"/>
    <mergeCell ref="A5:C5"/>
    <mergeCell ref="D5:H5"/>
    <mergeCell ref="A7:C7"/>
    <mergeCell ref="D7:H7"/>
    <mergeCell ref="J7:L7"/>
    <mergeCell ref="AD8:AD13"/>
    <mergeCell ref="C9:C10"/>
    <mergeCell ref="D9:E10"/>
    <mergeCell ref="F9:F10"/>
    <mergeCell ref="G9:G10"/>
    <mergeCell ref="I9:J10"/>
    <mergeCell ref="K9:L10"/>
    <mergeCell ref="M9:N10"/>
    <mergeCell ref="O9:P9"/>
    <mergeCell ref="Q9:R9"/>
    <mergeCell ref="S9:T9"/>
    <mergeCell ref="V9:V10"/>
    <mergeCell ref="W9:W10"/>
    <mergeCell ref="A12:A13"/>
    <mergeCell ref="D12:E12"/>
    <mergeCell ref="I12:I13"/>
    <mergeCell ref="J12:J13"/>
    <mergeCell ref="K12:K13"/>
    <mergeCell ref="L12:L13"/>
    <mergeCell ref="M12:M13"/>
    <mergeCell ref="T12:T13"/>
    <mergeCell ref="V12:V13"/>
    <mergeCell ref="W12:W13"/>
    <mergeCell ref="D13:E13"/>
    <mergeCell ref="A14:A15"/>
    <mergeCell ref="D14:E14"/>
    <mergeCell ref="I14:I15"/>
    <mergeCell ref="J14:J15"/>
    <mergeCell ref="K14:K15"/>
    <mergeCell ref="L14:L15"/>
    <mergeCell ref="N12:N13"/>
    <mergeCell ref="O12:O13"/>
    <mergeCell ref="P12:P13"/>
    <mergeCell ref="Q12:Q13"/>
    <mergeCell ref="R12:R13"/>
    <mergeCell ref="S12:S13"/>
    <mergeCell ref="W14:W15"/>
    <mergeCell ref="AD14:AD15"/>
    <mergeCell ref="D15:E15"/>
    <mergeCell ref="M14:M15"/>
    <mergeCell ref="N14:N15"/>
    <mergeCell ref="O14:O15"/>
    <mergeCell ref="P14:P15"/>
    <mergeCell ref="Q14:Q15"/>
    <mergeCell ref="R14:R15"/>
    <mergeCell ref="A16:A17"/>
    <mergeCell ref="D16:E16"/>
    <mergeCell ref="I16:I17"/>
    <mergeCell ref="J16:J17"/>
    <mergeCell ref="K16:K17"/>
    <mergeCell ref="L16:L17"/>
    <mergeCell ref="S14:S15"/>
    <mergeCell ref="T14:T15"/>
    <mergeCell ref="V14:V15"/>
    <mergeCell ref="S16:S17"/>
    <mergeCell ref="T16:T17"/>
    <mergeCell ref="V16:V17"/>
    <mergeCell ref="W16:W17"/>
    <mergeCell ref="AD16:AD21"/>
    <mergeCell ref="D17:E17"/>
    <mergeCell ref="D18:E18"/>
    <mergeCell ref="D19:E19"/>
    <mergeCell ref="C21:D22"/>
    <mergeCell ref="E21:G22"/>
    <mergeCell ref="M16:M17"/>
    <mergeCell ref="N16:N17"/>
    <mergeCell ref="O16:O17"/>
    <mergeCell ref="P16:P17"/>
    <mergeCell ref="Q16:Q17"/>
    <mergeCell ref="R16:R17"/>
    <mergeCell ref="T21:T22"/>
    <mergeCell ref="D24:E24"/>
    <mergeCell ref="F24:T24"/>
    <mergeCell ref="P25:T25"/>
    <mergeCell ref="A26:T26"/>
    <mergeCell ref="A27:D28"/>
    <mergeCell ref="E27:E28"/>
    <mergeCell ref="G27:G28"/>
    <mergeCell ref="J27:N28"/>
    <mergeCell ref="P27:T28"/>
    <mergeCell ref="I21:N22"/>
    <mergeCell ref="O21:O22"/>
    <mergeCell ref="P21:P22"/>
    <mergeCell ref="Q21:Q22"/>
    <mergeCell ref="R21:R22"/>
    <mergeCell ref="S21:S22"/>
    <mergeCell ref="F32:N34"/>
    <mergeCell ref="A36:C36"/>
    <mergeCell ref="D36:H36"/>
    <mergeCell ref="A38:C38"/>
    <mergeCell ref="D38:H38"/>
    <mergeCell ref="J38:L38"/>
    <mergeCell ref="A29:D29"/>
    <mergeCell ref="J29:N29"/>
    <mergeCell ref="P29:T29"/>
    <mergeCell ref="J30:N30"/>
    <mergeCell ref="P30:T30"/>
    <mergeCell ref="J31:N31"/>
    <mergeCell ref="P31:T31"/>
    <mergeCell ref="AD39:AD44"/>
    <mergeCell ref="C40:C41"/>
    <mergeCell ref="D40:E41"/>
    <mergeCell ref="F40:F41"/>
    <mergeCell ref="G40:G41"/>
    <mergeCell ref="I40:J41"/>
    <mergeCell ref="K40:L41"/>
    <mergeCell ref="M40:N41"/>
    <mergeCell ref="O40:P40"/>
    <mergeCell ref="Q40:R40"/>
    <mergeCell ref="S40:T40"/>
    <mergeCell ref="V40:V41"/>
    <mergeCell ref="W40:W41"/>
    <mergeCell ref="A43:A44"/>
    <mergeCell ref="D43:E43"/>
    <mergeCell ref="I43:I44"/>
    <mergeCell ref="J43:J44"/>
    <mergeCell ref="K43:K44"/>
    <mergeCell ref="L43:L44"/>
    <mergeCell ref="M43:M44"/>
    <mergeCell ref="T43:T44"/>
    <mergeCell ref="V43:V44"/>
    <mergeCell ref="W43:W44"/>
    <mergeCell ref="D44:E44"/>
    <mergeCell ref="A45:A46"/>
    <mergeCell ref="D45:E45"/>
    <mergeCell ref="I45:I46"/>
    <mergeCell ref="J45:J46"/>
    <mergeCell ref="K45:K46"/>
    <mergeCell ref="L45:L46"/>
    <mergeCell ref="N43:N44"/>
    <mergeCell ref="O43:O44"/>
    <mergeCell ref="P43:P44"/>
    <mergeCell ref="Q43:Q44"/>
    <mergeCell ref="R43:R44"/>
    <mergeCell ref="S43:S44"/>
    <mergeCell ref="W45:W46"/>
    <mergeCell ref="AD45:AD46"/>
    <mergeCell ref="D46:E46"/>
    <mergeCell ref="M45:M46"/>
    <mergeCell ref="N45:N46"/>
    <mergeCell ref="O45:O46"/>
    <mergeCell ref="P45:P46"/>
    <mergeCell ref="Q45:Q46"/>
    <mergeCell ref="R45:R46"/>
    <mergeCell ref="A47:A48"/>
    <mergeCell ref="D47:E47"/>
    <mergeCell ref="I47:I48"/>
    <mergeCell ref="J47:J48"/>
    <mergeCell ref="K47:K48"/>
    <mergeCell ref="L47:L48"/>
    <mergeCell ref="S45:S46"/>
    <mergeCell ref="T45:T46"/>
    <mergeCell ref="V45:V46"/>
    <mergeCell ref="S47:S48"/>
    <mergeCell ref="T47:T48"/>
    <mergeCell ref="V47:V48"/>
    <mergeCell ref="W47:W48"/>
    <mergeCell ref="AD47:AD52"/>
    <mergeCell ref="D48:E48"/>
    <mergeCell ref="D49:E49"/>
    <mergeCell ref="D50:E50"/>
    <mergeCell ref="C52:D53"/>
    <mergeCell ref="E52:G53"/>
    <mergeCell ref="M47:M48"/>
    <mergeCell ref="N47:N48"/>
    <mergeCell ref="O47:O48"/>
    <mergeCell ref="P47:P48"/>
    <mergeCell ref="Q47:Q48"/>
    <mergeCell ref="R47:R48"/>
    <mergeCell ref="T52:T53"/>
    <mergeCell ref="D55:E55"/>
    <mergeCell ref="F55:T55"/>
    <mergeCell ref="P56:T56"/>
    <mergeCell ref="A57:T57"/>
    <mergeCell ref="A58:D59"/>
    <mergeCell ref="E58:E59"/>
    <mergeCell ref="G58:G59"/>
    <mergeCell ref="J58:N59"/>
    <mergeCell ref="P58:T59"/>
    <mergeCell ref="I52:N53"/>
    <mergeCell ref="O52:O53"/>
    <mergeCell ref="P52:P53"/>
    <mergeCell ref="Q52:Q53"/>
    <mergeCell ref="R52:R53"/>
    <mergeCell ref="S52:S53"/>
    <mergeCell ref="F63:N65"/>
    <mergeCell ref="A67:C67"/>
    <mergeCell ref="D67:H67"/>
    <mergeCell ref="A69:C69"/>
    <mergeCell ref="D69:H69"/>
    <mergeCell ref="J69:L69"/>
    <mergeCell ref="A60:D60"/>
    <mergeCell ref="J60:N60"/>
    <mergeCell ref="P60:T60"/>
    <mergeCell ref="J61:N61"/>
    <mergeCell ref="P61:T61"/>
    <mergeCell ref="J62:N62"/>
    <mergeCell ref="P62:T62"/>
    <mergeCell ref="AD70:AD75"/>
    <mergeCell ref="C71:C72"/>
    <mergeCell ref="D71:E72"/>
    <mergeCell ref="F71:F72"/>
    <mergeCell ref="G71:G72"/>
    <mergeCell ref="I71:J72"/>
    <mergeCell ref="K71:L72"/>
    <mergeCell ref="M71:N72"/>
    <mergeCell ref="O71:P71"/>
    <mergeCell ref="Q71:R71"/>
    <mergeCell ref="S71:T71"/>
    <mergeCell ref="V71:V72"/>
    <mergeCell ref="W71:W72"/>
    <mergeCell ref="A74:A75"/>
    <mergeCell ref="D74:E74"/>
    <mergeCell ref="I74:I75"/>
    <mergeCell ref="J74:J75"/>
    <mergeCell ref="K74:K75"/>
    <mergeCell ref="L74:L75"/>
    <mergeCell ref="M74:M75"/>
    <mergeCell ref="T74:T75"/>
    <mergeCell ref="V74:V75"/>
    <mergeCell ref="W74:W75"/>
    <mergeCell ref="D75:E75"/>
    <mergeCell ref="A76:A77"/>
    <mergeCell ref="D76:E76"/>
    <mergeCell ref="I76:I77"/>
    <mergeCell ref="J76:J77"/>
    <mergeCell ref="K76:K77"/>
    <mergeCell ref="L76:L77"/>
    <mergeCell ref="N74:N75"/>
    <mergeCell ref="O74:O75"/>
    <mergeCell ref="P74:P75"/>
    <mergeCell ref="Q74:Q75"/>
    <mergeCell ref="R74:R75"/>
    <mergeCell ref="S74:S75"/>
    <mergeCell ref="W76:W77"/>
    <mergeCell ref="AD76:AD77"/>
    <mergeCell ref="D77:E77"/>
    <mergeCell ref="M76:M77"/>
    <mergeCell ref="N76:N77"/>
    <mergeCell ref="O76:O77"/>
    <mergeCell ref="P76:P77"/>
    <mergeCell ref="Q76:Q77"/>
    <mergeCell ref="R76:R77"/>
    <mergeCell ref="A78:A79"/>
    <mergeCell ref="D78:E78"/>
    <mergeCell ref="I78:I79"/>
    <mergeCell ref="J78:J79"/>
    <mergeCell ref="K78:K79"/>
    <mergeCell ref="L78:L79"/>
    <mergeCell ref="S76:S77"/>
    <mergeCell ref="T76:T77"/>
    <mergeCell ref="V76:V77"/>
    <mergeCell ref="S78:S79"/>
    <mergeCell ref="T78:T79"/>
    <mergeCell ref="V78:V79"/>
    <mergeCell ref="W78:W79"/>
    <mergeCell ref="AD78:AD83"/>
    <mergeCell ref="D79:E79"/>
    <mergeCell ref="D80:E80"/>
    <mergeCell ref="D81:E81"/>
    <mergeCell ref="C83:D84"/>
    <mergeCell ref="E83:G84"/>
    <mergeCell ref="M78:M79"/>
    <mergeCell ref="N78:N79"/>
    <mergeCell ref="O78:O79"/>
    <mergeCell ref="P78:P79"/>
    <mergeCell ref="Q78:Q79"/>
    <mergeCell ref="R78:R79"/>
    <mergeCell ref="A91:D91"/>
    <mergeCell ref="J91:N91"/>
    <mergeCell ref="P91:T91"/>
    <mergeCell ref="J92:N92"/>
    <mergeCell ref="P92:T92"/>
    <mergeCell ref="J93:N93"/>
    <mergeCell ref="P93:T93"/>
    <mergeCell ref="T83:T84"/>
    <mergeCell ref="D86:E86"/>
    <mergeCell ref="F86:T86"/>
    <mergeCell ref="P87:T87"/>
    <mergeCell ref="A88:T88"/>
    <mergeCell ref="A89:D90"/>
    <mergeCell ref="E89:E90"/>
    <mergeCell ref="G89:G90"/>
    <mergeCell ref="J89:N90"/>
    <mergeCell ref="P89:T90"/>
    <mergeCell ref="I83:N84"/>
    <mergeCell ref="O83:O84"/>
    <mergeCell ref="P83:P84"/>
    <mergeCell ref="Q83:Q84"/>
    <mergeCell ref="R83:R84"/>
    <mergeCell ref="S83:S84"/>
  </mergeCells>
  <dataValidations count="1" disablePrompts="0">
    <dataValidation sqref="D5:H5 D7:H7 D36:H36 D38:H38 D67:H67 D69:H69" type="list" allowBlank="1" errorStyle="stop" imeMode="noControl" operator="between" showDropDown="0" showErrorMessage="1" showInputMessage="1">
      <formula1>Allgemeines!$B$7:$B$12</formula1>
    </dataValidation>
  </dataValidations>
  <printOptions headings="0" gridLines="0"/>
  <pageMargins left="0.70866141732283472" right="0.70866141732283472" top="0.78740157480314954" bottom="0.78740157480314954" header="0.70866141732283472" footer="0.31496062992125984"/>
  <pageSetup paperSize="9" scale="74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&amp;R&amp;G</oddHeader>
  </headerFooter>
  <rowBreaks count="2" manualBreakCount="2">
    <brk id="31" man="1" max="19"/>
    <brk id="62" man="1" max="19"/>
  </rowBreaks>
  <legacyDrawingHF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00E40045-0097-4DC2-9A32-006E00AE00BA}">
            <xm:f>0</xm:f>
            <x14:dxf>
              <font>
                <color theme="0"/>
              </font>
            </x14:dxf>
          </x14:cfRule>
          <xm:sqref>C12:C19 F12:F19</xm:sqref>
        </x14:conditionalFormatting>
        <x14:conditionalFormatting xmlns:xm="http://schemas.microsoft.com/office/excel/2006/main">
          <x14:cfRule type="cellIs" priority="5" operator="equal" id="{00230089-00EE-45B3-B55C-009A00A6004C}">
            <xm:f>0</xm:f>
            <x14:dxf>
              <font>
                <color theme="0"/>
              </font>
            </x14:dxf>
          </x14:cfRule>
          <xm:sqref>C43:C50</xm:sqref>
        </x14:conditionalFormatting>
        <x14:conditionalFormatting xmlns:xm="http://schemas.microsoft.com/office/excel/2006/main">
          <x14:cfRule type="cellIs" priority="3" operator="equal" id="{002C00D6-0098-4F06-B7C9-002C003A008C}">
            <xm:f>0</xm:f>
            <x14:dxf>
              <font>
                <color theme="0"/>
              </font>
            </x14:dxf>
          </x14:cfRule>
          <xm:sqref>C74:C81</xm:sqref>
        </x14:conditionalFormatting>
        <x14:conditionalFormatting xmlns:xm="http://schemas.microsoft.com/office/excel/2006/main">
          <x14:cfRule type="cellIs" priority="2" operator="equal" id="{00BC0095-00FA-4A02-A0B7-004F003700B6}">
            <xm:f>0</xm:f>
            <x14:dxf>
              <font>
                <color theme="0"/>
              </font>
            </x14:dxf>
          </x14:cfRule>
          <xm:sqref>F43:F50</xm:sqref>
        </x14:conditionalFormatting>
        <x14:conditionalFormatting xmlns:xm="http://schemas.microsoft.com/office/excel/2006/main">
          <x14:cfRule type="cellIs" priority="1" operator="equal" id="{00E6004E-00EF-4B9A-B215-00A9000300A8}">
            <xm:f>0</xm:f>
            <x14:dxf>
              <font>
                <color theme="0"/>
              </font>
            </x14:dxf>
          </x14:cfRule>
          <xm:sqref>F74:F81</xm:sqref>
        </x14:conditionalFormatting>
        <x14:conditionalFormatting xmlns:xm="http://schemas.microsoft.com/office/excel/2006/main">
          <x14:cfRule type="cellIs" priority="8" operator="greaterThan" stopIfTrue="1" id="{0063006B-009D-40D7-9609-001400E90095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I12:N19</xm:sqref>
        </x14:conditionalFormatting>
        <x14:conditionalFormatting xmlns:xm="http://schemas.microsoft.com/office/excel/2006/main">
          <x14:cfRule type="cellIs" priority="6" operator="greaterThan" stopIfTrue="1" id="{00E5000A-003E-492F-B1BB-0068009700D8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I43:N50</xm:sqref>
        </x14:conditionalFormatting>
        <x14:conditionalFormatting xmlns:xm="http://schemas.microsoft.com/office/excel/2006/main">
          <x14:cfRule type="cellIs" priority="4" operator="greaterThan" stopIfTrue="1" id="{00FB0033-0047-4C53-B444-00B200590075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I74:N81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6" disablePrompts="0">
        <x14:dataValidation xr:uid="{006100CB-00B4-4FCC-8653-006600DD004A}" type="list" allowBlank="1" errorStyle="stop" imeMode="noControl" operator="between" showDropDown="0" showErrorMessage="1" showInputMessage="1">
          <x14:formula1>
            <xm:f>$AA8:$AA22</xm:f>
          </x14:formula1>
          <xm:sqref>G19 G50 G81</xm:sqref>
        </x14:dataValidation>
        <x14:dataValidation xr:uid="{005400D8-0014-467C-AB29-00A900DF009D}" type="list" allowBlank="1" errorStyle="stop" imeMode="noControl" operator="between" showDropDown="0" showErrorMessage="1" showInputMessage="1">
          <x14:formula1>
            <xm:f>$AA8:$AA22</xm:f>
          </x14:formula1>
          <xm:sqref>G18 G49 G80</xm:sqref>
        </x14:dataValidation>
        <x14:dataValidation xr:uid="{00F400BF-003D-487F-B90F-0032004000AB}" type="list" allowBlank="1" errorStyle="stop" imeMode="noControl" operator="between" showDropDown="0" showErrorMessage="1" showInputMessage="1">
          <x14:formula1>
            <xm:f>$AA8:$AA22</xm:f>
          </x14:formula1>
          <xm:sqref>G17 G48 G79</xm:sqref>
        </x14:dataValidation>
        <x14:dataValidation xr:uid="{000300E5-009F-47B9-8B74-006C00710096}" type="list" allowBlank="1" errorStyle="stop" imeMode="noControl" operator="between" showDropDown="0" showErrorMessage="1" showInputMessage="1">
          <x14:formula1>
            <xm:f>$AA8:$AA22</xm:f>
          </x14:formula1>
          <xm:sqref>G16 G47 G78</xm:sqref>
        </x14:dataValidation>
        <x14:dataValidation xr:uid="{009D00A9-00B3-4400-937D-00E8004B007C}" type="list" allowBlank="1" errorStyle="stop" imeMode="noControl" operator="between" showDropDown="0" showErrorMessage="1" showInputMessage="1">
          <x14:formula1>
            <xm:f>$AA8:$AA22</xm:f>
          </x14:formula1>
          <xm:sqref>G15 G46 G77</xm:sqref>
        </x14:dataValidation>
        <x14:dataValidation xr:uid="{00110063-00EA-4B66-BEF6-001200520092}" type="list" allowBlank="1" errorStyle="stop" imeMode="noControl" operator="between" showDropDown="0" showErrorMessage="1" showInputMessage="1">
          <x14:formula1>
            <xm:f>$AA8:$AA22</xm:f>
          </x14:formula1>
          <xm:sqref>G14 G45 G76</xm:sqref>
        </x14:dataValidation>
        <x14:dataValidation xr:uid="{0069009E-00AA-4DD2-9EC9-00EB0095002A}" type="list" allowBlank="1" errorStyle="stop" imeMode="noControl" operator="between" showDropDown="0" showErrorMessage="1" showInputMessage="1">
          <x14:formula1>
            <xm:f>$AA8:$AA22</xm:f>
          </x14:formula1>
          <xm:sqref>G13 G44 G75</xm:sqref>
        </x14:dataValidation>
        <x14:dataValidation xr:uid="{002600D8-0038-4AA9-B0B9-0053000A001C}" type="list" allowBlank="1" errorStyle="stop" imeMode="noControl" operator="between" showDropDown="0" showErrorMessage="1" showInputMessage="1">
          <x14:formula1>
            <xm:f>$AA8:$AA22</xm:f>
          </x14:formula1>
          <xm:sqref>G12 G43 G74</xm:sqref>
        </x14:dataValidation>
        <x14:dataValidation xr:uid="{00050021-0018-4D73-82BC-006E00C00084}" type="list" allowBlank="1" errorStyle="stop" imeMode="noControl" operator="between" showDropDown="0" showErrorMessage="1" showInputMessage="1">
          <x14:formula1>
            <xm:f>$Z8:$Z22</xm:f>
          </x14:formula1>
          <xm:sqref>D19:E19 D50:E50 D81:E81</xm:sqref>
        </x14:dataValidation>
        <x14:dataValidation xr:uid="{004800E2-0077-481D-A199-00140033006A}" type="list" allowBlank="1" errorStyle="stop" imeMode="noControl" operator="between" showDropDown="0" showErrorMessage="1" showInputMessage="1">
          <x14:formula1>
            <xm:f>$Z8:$Z22</xm:f>
          </x14:formula1>
          <xm:sqref>D18:E18 D49:E49 D80:E80</xm:sqref>
        </x14:dataValidation>
        <x14:dataValidation xr:uid="{00940048-008F-4178-9DB4-00F100CE000C}" type="list" allowBlank="1" errorStyle="stop" imeMode="noControl" operator="between" showDropDown="0" showErrorMessage="1" showInputMessage="1">
          <x14:formula1>
            <xm:f>$Z8:$Z22</xm:f>
          </x14:formula1>
          <xm:sqref>D17:E17 D48:E48 D79:E79</xm:sqref>
        </x14:dataValidation>
        <x14:dataValidation xr:uid="{00570069-0042-49D3-AE3A-0069009B0099}" type="list" allowBlank="1" errorStyle="stop" imeMode="noControl" operator="between" showDropDown="0" showErrorMessage="1" showInputMessage="1">
          <x14:formula1>
            <xm:f>$Z8:$Z22</xm:f>
          </x14:formula1>
          <xm:sqref>D16:E16 D47:E47 D78:E78</xm:sqref>
        </x14:dataValidation>
        <x14:dataValidation xr:uid="{005A007B-00FD-41EF-92B7-00DB00D70002}" type="list" allowBlank="1" errorStyle="stop" imeMode="noControl" operator="between" showDropDown="0" showErrorMessage="1" showInputMessage="1">
          <x14:formula1>
            <xm:f>$Z8:$Z22</xm:f>
          </x14:formula1>
          <xm:sqref>D15:E15 D46:E46 D77:E77</xm:sqref>
        </x14:dataValidation>
        <x14:dataValidation xr:uid="{00130096-000D-4906-9D86-002B008F0030}" type="list" allowBlank="1" errorStyle="stop" imeMode="noControl" operator="between" showDropDown="0" showErrorMessage="1" showInputMessage="1">
          <x14:formula1>
            <xm:f>$Z8:$Z22</xm:f>
          </x14:formula1>
          <xm:sqref>D14:E14 D45:E45 D76:E76</xm:sqref>
        </x14:dataValidation>
        <x14:dataValidation xr:uid="{00B000E8-003A-4417-89BE-00F2008700DB}" type="list" allowBlank="1" errorStyle="stop" imeMode="noControl" operator="between" showDropDown="0" showErrorMessage="1" showInputMessage="1">
          <x14:formula1>
            <xm:f>$Z8:$Z22</xm:f>
          </x14:formula1>
          <xm:sqref>D13:E13 D44:E44 D75:E75</xm:sqref>
        </x14:dataValidation>
        <x14:dataValidation xr:uid="{00960000-005C-4294-90F6-00F3005200D5}" type="list" allowBlank="1" errorStyle="stop" imeMode="noControl" operator="between" showDropDown="0" showErrorMessage="1" showInputMessage="1">
          <x14:formula1>
            <xm:f>$Z8:$Z22</xm:f>
          </x14:formula1>
          <xm:sqref>D12:E12 D43:E43 D74:E74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view="pageBreakPreview" zoomScale="85" workbookViewId="0">
      <selection activeCell="D5" activeCellId="0" sqref="D5:H5"/>
    </sheetView>
  </sheetViews>
  <sheetFormatPr baseColWidth="10" defaultColWidth="11.42578125" defaultRowHeight="15"/>
  <cols>
    <col customWidth="1" min="1" max="1" style="8" width="11"/>
    <col customWidth="1" min="2" max="2" style="8" width="1.42578125"/>
    <col customWidth="1" min="3" max="3" style="8" width="5.7109375"/>
    <col customWidth="1" min="4" max="4" style="8" width="10.140625"/>
    <col customWidth="1" min="5" max="5" style="8" width="19.85546875"/>
    <col customWidth="1" min="6" max="6" style="8" width="5.7109375"/>
    <col customWidth="1" min="7" max="7" style="8" width="28.140625"/>
    <col customWidth="1" min="8" max="8" style="8" width="0.85546875"/>
    <col customWidth="1" min="9" max="20" style="8" width="7.85546875"/>
    <col customWidth="1" min="21" max="21" style="8" width="0.85546875"/>
    <col customWidth="1" min="22" max="23" style="8" width="7.85546875"/>
    <col min="24" max="24" style="8" width="11.42578125"/>
    <col customWidth="1" min="25" max="25" style="8" width="2.85546875"/>
    <col min="26" max="27" style="8" width="11.42578125"/>
    <col bestFit="1" customWidth="1" min="28" max="28" style="8" width="2.85546875"/>
    <col min="29" max="29" style="8" width="11.42578125"/>
    <col customWidth="1" min="30" max="30" style="8" width="111.42578125"/>
    <col min="31" max="16384" style="8" width="11.42578125"/>
  </cols>
  <sheetData>
    <row r="1" ht="21">
      <c r="A1" s="9" t="s">
        <v>120</v>
      </c>
      <c r="F1" s="10" t="str">
        <f>IF(V12&gt;V14,CONCATENATE("Achtung! Teamreihenfolge ",D5," nicht richtig! 1. und 2. Doppel tauschen."),IF(V14&gt;V16,CONCATENATE("Achtung! Teamreihenfolge ",D5," nicht richtig! 2. und 3. Doppel tauschen."),IF(AND(V18&gt;=V19,V19&gt;0),CONCATENATE("Achtung! Teamreihenfolge ",D5," nicht richtig! Beide Einzel tauschen."),IF(W12&gt;W14,CONCATENATE("Achtung! Teamreihenfolge ",D7," nicht richtig! 1. und 2. Doppel tauschen."),IF(W14&gt;W16,CONCATENATE("Achtung! Teamreihenfolge ",D7," nicht richtig! 2. und 3. Doppel tauschen."),IF(AND(W18&gt;=W19,W19&gt;0),CONCATENATE("Achtung! Teamreihenfolge ",D7," nicht richtig! Beide Einzel tauschen."),""))))))</f>
        <v/>
      </c>
      <c r="G1" s="10"/>
      <c r="H1" s="10"/>
      <c r="I1" s="10"/>
      <c r="J1" s="10"/>
      <c r="K1" s="10"/>
      <c r="L1" s="10"/>
      <c r="M1" s="10"/>
      <c r="N1" s="10"/>
    </row>
    <row r="2" s="11" customFormat="1" ht="26.25">
      <c r="A2" s="12" t="s">
        <v>121</v>
      </c>
      <c r="B2" s="12"/>
      <c r="C2" s="12"/>
      <c r="D2" s="12"/>
      <c r="E2" s="12"/>
      <c r="F2" s="10"/>
      <c r="G2" s="10"/>
      <c r="H2" s="10"/>
      <c r="I2" s="10"/>
      <c r="J2" s="10"/>
      <c r="K2" s="10"/>
      <c r="L2" s="10"/>
      <c r="M2" s="10"/>
      <c r="N2" s="10"/>
    </row>
    <row r="3" s="11" customFormat="1" ht="26.25">
      <c r="A3" s="13" t="s">
        <v>122</v>
      </c>
      <c r="B3" s="12"/>
      <c r="C3" s="12"/>
      <c r="D3" s="12"/>
      <c r="E3" s="12"/>
      <c r="F3" s="10"/>
      <c r="G3" s="10"/>
      <c r="H3" s="10"/>
      <c r="I3" s="10"/>
      <c r="J3" s="10"/>
      <c r="K3" s="10"/>
      <c r="L3" s="10"/>
      <c r="M3" s="10"/>
      <c r="N3" s="10"/>
    </row>
    <row r="4" s="14" customFormat="1" ht="15" customHeight="1">
      <c r="A4" s="15"/>
      <c r="M4" s="16"/>
      <c r="V4" s="14"/>
      <c r="W4" s="14"/>
      <c r="AD4" s="17"/>
    </row>
    <row r="5" s="11" customFormat="1" ht="21" customHeight="1">
      <c r="A5" s="18" t="s">
        <v>123</v>
      </c>
      <c r="B5" s="18"/>
      <c r="C5" s="18"/>
      <c r="D5" s="19"/>
      <c r="E5" s="19"/>
      <c r="F5" s="19"/>
      <c r="G5" s="19"/>
      <c r="H5" s="19"/>
      <c r="K5" s="20"/>
      <c r="L5" s="21" t="s">
        <v>124</v>
      </c>
      <c r="M5" s="22" t="str">
        <f>Gruppe</f>
        <v>II</v>
      </c>
      <c r="N5" s="20"/>
      <c r="O5" s="20"/>
      <c r="P5" s="20"/>
      <c r="Q5" s="20"/>
      <c r="R5" s="20"/>
      <c r="S5" s="20"/>
      <c r="T5" s="20"/>
      <c r="V5" s="11"/>
      <c r="W5" s="23"/>
      <c r="AD5" s="17"/>
    </row>
    <row r="6" s="14" customFormat="1" ht="21" customHeight="1">
      <c r="C6" s="24" t="s">
        <v>125</v>
      </c>
      <c r="L6" s="24" t="s">
        <v>126</v>
      </c>
      <c r="M6" s="16"/>
      <c r="N6" s="16"/>
      <c r="O6" s="16"/>
      <c r="P6" s="16"/>
      <c r="Q6" s="16"/>
      <c r="V6" s="23"/>
      <c r="W6" s="23"/>
      <c r="AD6" s="17"/>
    </row>
    <row r="7" s="11" customFormat="1" ht="21" customHeight="1">
      <c r="A7" s="18" t="s">
        <v>127</v>
      </c>
      <c r="B7" s="18"/>
      <c r="C7" s="18"/>
      <c r="D7" s="19"/>
      <c r="E7" s="19"/>
      <c r="F7" s="19"/>
      <c r="G7" s="19"/>
      <c r="H7" s="19"/>
      <c r="J7" s="18" t="s">
        <v>128</v>
      </c>
      <c r="K7" s="18"/>
      <c r="L7" s="18"/>
      <c r="M7" s="22" t="str">
        <f>Austragungsort</f>
        <v xml:space="preserve">Sporthalle Berlin</v>
      </c>
      <c r="N7" s="25"/>
      <c r="O7" s="25"/>
      <c r="P7" s="25"/>
      <c r="Q7" s="25"/>
      <c r="R7" s="20"/>
      <c r="S7" s="20"/>
      <c r="T7" s="20"/>
      <c r="V7" s="23"/>
      <c r="W7" s="23"/>
      <c r="Y7" s="26" t="s">
        <v>129</v>
      </c>
      <c r="Z7" s="27"/>
      <c r="AA7" s="28" t="s">
        <v>130</v>
      </c>
      <c r="AB7" s="27"/>
      <c r="AD7" s="29" t="s">
        <v>131</v>
      </c>
      <c r="AE7" s="17"/>
      <c r="AF7" s="17"/>
      <c r="AG7" s="17"/>
      <c r="AH7" s="17"/>
      <c r="AI7" s="17"/>
      <c r="AJ7" s="17"/>
      <c r="AK7" s="17"/>
      <c r="AL7" s="17"/>
      <c r="AM7" s="17"/>
    </row>
    <row r="8" s="11" customFormat="1" ht="21">
      <c r="A8" s="15"/>
      <c r="C8" s="24" t="s">
        <v>132</v>
      </c>
      <c r="L8" s="24" t="s">
        <v>133</v>
      </c>
      <c r="V8" s="23"/>
      <c r="W8" s="23"/>
      <c r="Y8" s="30">
        <v>1</v>
      </c>
      <c r="Z8" s="31" t="e">
        <f>VLOOKUP(CONCATENATE($D5," ",Y8),Setzlisten!$A:$E,5,0)</f>
        <v>#N/A</v>
      </c>
      <c r="AA8" s="30" t="e">
        <f>VLOOKUP(CONCATENATE($D7," ",Y8),Setzlisten!$A:$E,5,0)</f>
        <v>#N/A</v>
      </c>
      <c r="AB8" s="31">
        <v>1</v>
      </c>
      <c r="AD8" s="32" t="str">
        <f>CONCATENATE(A12,": ",D12," mit ",D13," - ",G12," mit ",G13,", ",I12,":",J12,", ",K12,":",L12,IF(M12="","",CONCATENATE(", ",M12,":",N12)),CHAR(10),A14,": ",D14," mit ",D15," - ",G14," mit ",G15,", ",I14,":",J14,", ",K14,":",L14,IF(M14="","",CONCATENATE(", ",M14,":",N14)),CHAR(10),A16,": ",D16," mit ",D17," - ",G16," mit ",G17,", ",I16,":",J16,", ",K16,":",L16,IF(M16="","",CONCATENATE(", ",M16,":",N16)),CHAR(10),A18,": ",D18," - ",G18,", ",I18,":",J18,", ",K18,":",L18,IF(M18="","",CONCATENATE(", ",M18,":",N18)),CHAR(10),A19,": ",D19," - ",G19,", ",I19,":",J19,", ",K19,":",L19,IF(M19="","",CONCATENATE(", ",M19,":",N19)))</f>
        <v xml:space="preserve">1. Doppel
1st Doubles:  mit  -  mit , :, :
2. Doppel
2nd Doubles:  mit  -  mit , :, :
3. Doppel
3rd Doubles:  mit  -  mit , :, :
1. Einzel
1st Singles:  - , :, :
2. Einzel
2nd Singles:  - , :, :</v>
      </c>
      <c r="AE8" s="17"/>
      <c r="AF8" s="17"/>
      <c r="AG8" s="17"/>
      <c r="AH8" s="17"/>
      <c r="AI8" s="17"/>
      <c r="AJ8" s="17"/>
      <c r="AK8" s="17"/>
      <c r="AL8" s="17"/>
      <c r="AM8" s="17"/>
    </row>
    <row r="9" s="11" customFormat="1" ht="26.25" customHeight="1">
      <c r="A9" s="33" t="s">
        <v>134</v>
      </c>
      <c r="B9" s="34"/>
      <c r="C9" s="35" t="s">
        <v>135</v>
      </c>
      <c r="D9" s="36" t="s">
        <v>136</v>
      </c>
      <c r="E9" s="37"/>
      <c r="F9" s="38" t="s">
        <v>135</v>
      </c>
      <c r="G9" s="39" t="s">
        <v>137</v>
      </c>
      <c r="H9" s="40"/>
      <c r="I9" s="41" t="s">
        <v>138</v>
      </c>
      <c r="J9" s="42"/>
      <c r="K9" s="41" t="s">
        <v>139</v>
      </c>
      <c r="L9" s="42"/>
      <c r="M9" s="43" t="s">
        <v>140</v>
      </c>
      <c r="N9" s="44"/>
      <c r="O9" s="45" t="s">
        <v>141</v>
      </c>
      <c r="P9" s="46"/>
      <c r="Q9" s="47" t="s">
        <v>142</v>
      </c>
      <c r="R9" s="48"/>
      <c r="S9" s="49" t="s">
        <v>143</v>
      </c>
      <c r="T9" s="50"/>
      <c r="V9" s="51" t="s">
        <v>144</v>
      </c>
      <c r="W9" s="52" t="s">
        <v>145</v>
      </c>
      <c r="Y9" s="30">
        <v>2</v>
      </c>
      <c r="Z9" s="31" t="e">
        <f>VLOOKUP(CONCATENATE($D5," ",Y9),Setzlisten!$A:$E,5,0)</f>
        <v>#N/A</v>
      </c>
      <c r="AA9" s="30" t="e">
        <f>VLOOKUP(CONCATENATE($D7," ",Y9),Setzlisten!$A:$E,5,0)</f>
        <v>#N/A</v>
      </c>
      <c r="AB9" s="31">
        <v>2</v>
      </c>
      <c r="AD9" s="32"/>
      <c r="AE9" s="17"/>
      <c r="AF9" s="17"/>
      <c r="AG9" s="17"/>
      <c r="AH9" s="17"/>
      <c r="AI9" s="17"/>
      <c r="AJ9" s="17"/>
      <c r="AK9" s="17"/>
      <c r="AL9" s="17"/>
      <c r="AM9" s="17"/>
    </row>
    <row r="10" s="11" customFormat="1" ht="29.25" customHeight="1">
      <c r="A10" s="53">
        <f>Allgemeines!G6</f>
        <v>0.64583333333333337</v>
      </c>
      <c r="B10" s="34"/>
      <c r="C10" s="54"/>
      <c r="D10" s="55"/>
      <c r="E10" s="56"/>
      <c r="F10" s="57"/>
      <c r="G10" s="58"/>
      <c r="H10" s="40"/>
      <c r="I10" s="59"/>
      <c r="J10" s="60"/>
      <c r="K10" s="59"/>
      <c r="L10" s="60"/>
      <c r="M10" s="61"/>
      <c r="N10" s="62"/>
      <c r="O10" s="63" t="s">
        <v>146</v>
      </c>
      <c r="P10" s="64" t="s">
        <v>147</v>
      </c>
      <c r="Q10" s="65" t="s">
        <v>146</v>
      </c>
      <c r="R10" s="66" t="s">
        <v>147</v>
      </c>
      <c r="S10" s="64" t="s">
        <v>146</v>
      </c>
      <c r="T10" s="67" t="s">
        <v>147</v>
      </c>
      <c r="V10" s="68"/>
      <c r="W10" s="69"/>
      <c r="Y10" s="30">
        <v>3</v>
      </c>
      <c r="Z10" s="31" t="e">
        <f>VLOOKUP(CONCATENATE($D5," ",Y10),Setzlisten!$A:$E,5,0)</f>
        <v>#N/A</v>
      </c>
      <c r="AA10" s="30" t="e">
        <f>VLOOKUP(CONCATENATE($D7," ",Y10),Setzlisten!$A:$E,5,0)</f>
        <v>#N/A</v>
      </c>
      <c r="AB10" s="31">
        <v>3</v>
      </c>
      <c r="AD10" s="32"/>
      <c r="AE10" s="17"/>
      <c r="AF10" s="17"/>
      <c r="AG10" s="17"/>
      <c r="AH10" s="17"/>
      <c r="AI10" s="17"/>
      <c r="AJ10" s="17"/>
      <c r="AK10" s="17"/>
      <c r="AL10" s="17"/>
      <c r="AM10" s="17"/>
    </row>
    <row r="11" s="70" customFormat="1" ht="9">
      <c r="V11" s="30"/>
      <c r="W11" s="31"/>
      <c r="Y11" s="30">
        <v>4</v>
      </c>
      <c r="Z11" s="31" t="e">
        <f>VLOOKUP(CONCATENATE($D5," ",Y11),Setzlisten!$A:$E,5,0)</f>
        <v>#N/A</v>
      </c>
      <c r="AA11" s="30" t="e">
        <f>VLOOKUP(CONCATENATE($D7," ",Y11),Setzlisten!$A:$E,5,0)</f>
        <v>#N/A</v>
      </c>
      <c r="AB11" s="31">
        <v>4</v>
      </c>
      <c r="AD11" s="32"/>
    </row>
    <row r="12" s="11" customFormat="1" ht="24" customHeight="1">
      <c r="A12" s="71" t="s">
        <v>148</v>
      </c>
      <c r="C12" s="72">
        <f>IF(D12="",0,VLOOKUP(D12,$Z8:$AB22,3,0))</f>
        <v>0</v>
      </c>
      <c r="D12" s="73"/>
      <c r="E12" s="74"/>
      <c r="F12" s="75">
        <f>IF(G12="",0,VLOOKUP(G12,$AA8:$AB22,2,0))</f>
        <v>0</v>
      </c>
      <c r="G12" s="76"/>
      <c r="I12" s="77"/>
      <c r="J12" s="78"/>
      <c r="K12" s="77"/>
      <c r="L12" s="78"/>
      <c r="M12" s="77"/>
      <c r="N12" s="79"/>
      <c r="O12" s="80" t="str">
        <f>IF(I12="","",SUM(I12,K12,M12))</f>
        <v/>
      </c>
      <c r="P12" s="81" t="str">
        <f>IF(J12="","",SUM(J12,L12,N12))</f>
        <v/>
      </c>
      <c r="Q12" s="82" t="str">
        <f>IF(I12="","",IF(I12&gt;J12,1,0)+IF(K12&gt;L12,1,0)+IF(M12="",0,IF(M12&gt;N12,1,0)))</f>
        <v/>
      </c>
      <c r="R12" s="83" t="str">
        <f>IF(I12="","",IF(J12&gt;I12,1,0)+IF(L12&gt;K12,1,0)+IF(M12="",0,IF(N12&gt;M12,1,0)))</f>
        <v/>
      </c>
      <c r="S12" s="84" t="str">
        <f>IF(I12="","",IF(Q12&gt;R12,1,0))</f>
        <v/>
      </c>
      <c r="T12" s="85" t="str">
        <f>IF(I12="","",IF(R12&gt;Q12,1,0))</f>
        <v/>
      </c>
      <c r="V12" s="86">
        <f>C12+C13</f>
        <v>0</v>
      </c>
      <c r="W12" s="87">
        <f>F12+F13</f>
        <v>0</v>
      </c>
      <c r="Y12" s="30">
        <v>5</v>
      </c>
      <c r="Z12" s="31" t="e">
        <f>VLOOKUP(CONCATENATE($D5," ",Y12),Setzlisten!$A:$E,5,0)</f>
        <v>#N/A</v>
      </c>
      <c r="AA12" s="30" t="e">
        <f>VLOOKUP(CONCATENATE($D7," ",Y12),Setzlisten!$A:$E,5,0)</f>
        <v>#N/A</v>
      </c>
      <c r="AB12" s="31">
        <v>5</v>
      </c>
      <c r="AD12" s="32"/>
    </row>
    <row r="13" s="11" customFormat="1" ht="24" customHeight="1">
      <c r="A13" s="88"/>
      <c r="C13" s="89">
        <f>IF(D13="",0,VLOOKUP(D13,$Z8:$AB22,3,0))</f>
        <v>0</v>
      </c>
      <c r="D13" s="90"/>
      <c r="E13" s="91"/>
      <c r="F13" s="92">
        <f>IF(G13="",0,VLOOKUP(G13,$AA8:$AB22,2,0))</f>
        <v>0</v>
      </c>
      <c r="G13" s="93"/>
      <c r="I13" s="77"/>
      <c r="J13" s="78"/>
      <c r="K13" s="77"/>
      <c r="L13" s="78"/>
      <c r="M13" s="77"/>
      <c r="N13" s="79"/>
      <c r="O13" s="92"/>
      <c r="P13" s="94"/>
      <c r="Q13" s="89"/>
      <c r="R13" s="95"/>
      <c r="S13" s="96"/>
      <c r="T13" s="97"/>
      <c r="V13" s="98"/>
      <c r="W13" s="99"/>
      <c r="Y13" s="30">
        <v>6</v>
      </c>
      <c r="Z13" s="31" t="e">
        <f>VLOOKUP(CONCATENATE($D5," ",Y13),Setzlisten!$A:$E,5,0)</f>
        <v>#N/A</v>
      </c>
      <c r="AA13" s="30" t="e">
        <f>VLOOKUP(CONCATENATE($D7," ",Y13),Setzlisten!$A:$E,5,0)</f>
        <v>#N/A</v>
      </c>
      <c r="AB13" s="31">
        <v>6</v>
      </c>
      <c r="AD13" s="32"/>
    </row>
    <row r="14" s="11" customFormat="1" ht="24" customHeight="1">
      <c r="A14" s="71" t="s">
        <v>149</v>
      </c>
      <c r="C14" s="72">
        <f>IF(D14="",0,VLOOKUP(D14,$Z8:$AB22,3,0))</f>
        <v>0</v>
      </c>
      <c r="D14" s="73"/>
      <c r="E14" s="74"/>
      <c r="F14" s="75">
        <f>IF(G14="",0,VLOOKUP(G14,$AA8:$AB22,2,0))</f>
        <v>0</v>
      </c>
      <c r="G14" s="76"/>
      <c r="I14" s="77"/>
      <c r="J14" s="100"/>
      <c r="K14" s="77"/>
      <c r="L14" s="78"/>
      <c r="M14" s="77"/>
      <c r="N14" s="79"/>
      <c r="O14" s="80" t="str">
        <f>IF(I14="","",SUM(I14,K14,M14))</f>
        <v/>
      </c>
      <c r="P14" s="81" t="str">
        <f t="shared" ref="P14:P19" si="119">IF(J14="","",SUM(J14,L14,N14))</f>
        <v/>
      </c>
      <c r="Q14" s="82" t="str">
        <f t="shared" ref="Q14:Q19" si="120">IF(I14="","",IF(I14&gt;J14,1,0)+IF(K14&gt;L14,1,0)+IF(M14="",0,IF(M14&gt;N14,1,0)))</f>
        <v/>
      </c>
      <c r="R14" s="83" t="str">
        <f t="shared" ref="R14:R19" si="121">IF(I14="","",IF(J14&gt;I14,1,0)+IF(L14&gt;K14,1,0)+IF(M14="",0,IF(N14&gt;M14,1,0)))</f>
        <v/>
      </c>
      <c r="S14" s="84" t="str">
        <f t="shared" ref="S14:S19" si="122">IF(I14="","",IF(Q14&gt;R14,1,0))</f>
        <v/>
      </c>
      <c r="T14" s="85" t="str">
        <f t="shared" ref="T14:T19" si="123">IF(I14="","",IF(R14&gt;Q14,1,0))</f>
        <v/>
      </c>
      <c r="V14" s="98">
        <f>C14+C15</f>
        <v>0</v>
      </c>
      <c r="W14" s="99">
        <f>F14+F15</f>
        <v>0</v>
      </c>
      <c r="Y14" s="30">
        <v>7</v>
      </c>
      <c r="Z14" s="31" t="e">
        <f>VLOOKUP(CONCATENATE($D5," ",Y14),Setzlisten!$A:$E,5,0)</f>
        <v>#N/A</v>
      </c>
      <c r="AA14" s="30" t="e">
        <f>VLOOKUP(CONCATENATE($D7," ",Y14),Setzlisten!$A:$E,5,0)</f>
        <v>#N/A</v>
      </c>
      <c r="AB14" s="31">
        <v>7</v>
      </c>
      <c r="AD14" s="101" t="s">
        <v>150</v>
      </c>
    </row>
    <row r="15" s="11" customFormat="1" ht="24" customHeight="1">
      <c r="A15" s="88"/>
      <c r="C15" s="89">
        <f>IF(D15="",0,VLOOKUP(D15,$Z8:$AB22,3,0))</f>
        <v>0</v>
      </c>
      <c r="D15" s="90"/>
      <c r="E15" s="91"/>
      <c r="F15" s="92">
        <f>IF(G15="",0,VLOOKUP(G15,$AA8:$AB22,2,0))</f>
        <v>0</v>
      </c>
      <c r="G15" s="93"/>
      <c r="I15" s="77"/>
      <c r="J15" s="78"/>
      <c r="K15" s="77"/>
      <c r="L15" s="78"/>
      <c r="M15" s="77"/>
      <c r="N15" s="79"/>
      <c r="O15" s="92"/>
      <c r="P15" s="94"/>
      <c r="Q15" s="89"/>
      <c r="R15" s="95"/>
      <c r="S15" s="96"/>
      <c r="T15" s="97"/>
      <c r="V15" s="98"/>
      <c r="W15" s="99"/>
      <c r="Y15" s="30">
        <v>8</v>
      </c>
      <c r="Z15" s="31" t="e">
        <f>VLOOKUP(CONCATENATE($D5," ",Y15),Setzlisten!$A:$E,5,0)</f>
        <v>#N/A</v>
      </c>
      <c r="AA15" s="30" t="e">
        <f>VLOOKUP(CONCATENATE($D7," ",Y15),Setzlisten!$A:$E,5,0)</f>
        <v>#N/A</v>
      </c>
      <c r="AB15" s="31">
        <v>8</v>
      </c>
      <c r="AD15" s="101"/>
    </row>
    <row r="16" s="11" customFormat="1" ht="24" customHeight="1">
      <c r="A16" s="71" t="s">
        <v>151</v>
      </c>
      <c r="C16" s="72">
        <f>IF(D16="",0,VLOOKUP(D16,$Z8:$AB22,3,0))</f>
        <v>0</v>
      </c>
      <c r="D16" s="73"/>
      <c r="E16" s="74"/>
      <c r="F16" s="75">
        <f>IF(G16="",0,VLOOKUP(G16,$AA8:$AB22,2,0))</f>
        <v>0</v>
      </c>
      <c r="G16" s="76"/>
      <c r="I16" s="77"/>
      <c r="J16" s="78"/>
      <c r="K16" s="77"/>
      <c r="L16" s="78"/>
      <c r="M16" s="77"/>
      <c r="N16" s="79"/>
      <c r="O16" s="80" t="str">
        <f>IF(I16="","",SUM(I16,K16,M16))</f>
        <v/>
      </c>
      <c r="P16" s="81" t="str">
        <f t="shared" si="119"/>
        <v/>
      </c>
      <c r="Q16" s="82" t="str">
        <f t="shared" si="120"/>
        <v/>
      </c>
      <c r="R16" s="83" t="str">
        <f t="shared" si="121"/>
        <v/>
      </c>
      <c r="S16" s="84" t="str">
        <f t="shared" si="122"/>
        <v/>
      </c>
      <c r="T16" s="85" t="str">
        <f t="shared" si="123"/>
        <v/>
      </c>
      <c r="V16" s="98">
        <f>C16+C17</f>
        <v>0</v>
      </c>
      <c r="W16" s="99">
        <f>F16+F17</f>
        <v>0</v>
      </c>
      <c r="Y16" s="30">
        <v>9</v>
      </c>
      <c r="Z16" s="31" t="e">
        <f>VLOOKUP(CONCATENATE($D5," ",Y16),Setzlisten!$A:$E,5,0)</f>
        <v>#N/A</v>
      </c>
      <c r="AA16" s="30" t="e">
        <f>VLOOKUP(CONCATENATE($D7," ",Y16),Setzlisten!$A:$E,5,0)</f>
        <v>#N/A</v>
      </c>
      <c r="AB16" s="31">
        <v>9</v>
      </c>
      <c r="AD16" s="32"/>
    </row>
    <row r="17" s="11" customFormat="1" ht="24" customHeight="1">
      <c r="A17" s="88"/>
      <c r="C17" s="89">
        <f>IF(D17="",0,VLOOKUP(D17,$Z8:$AB22,3,0))</f>
        <v>0</v>
      </c>
      <c r="D17" s="90"/>
      <c r="E17" s="91"/>
      <c r="F17" s="92">
        <f>IF(G17="",0,VLOOKUP(G17,$AA8:$AB22,2,0))</f>
        <v>0</v>
      </c>
      <c r="G17" s="93"/>
      <c r="I17" s="77"/>
      <c r="J17" s="78"/>
      <c r="K17" s="77"/>
      <c r="L17" s="78"/>
      <c r="M17" s="77"/>
      <c r="N17" s="79"/>
      <c r="O17" s="92"/>
      <c r="P17" s="94"/>
      <c r="Q17" s="89"/>
      <c r="R17" s="95"/>
      <c r="S17" s="96"/>
      <c r="T17" s="97"/>
      <c r="V17" s="102"/>
      <c r="W17" s="103"/>
      <c r="Y17" s="30">
        <v>10</v>
      </c>
      <c r="Z17" s="31" t="e">
        <f>VLOOKUP(CONCATENATE($D5," ",Y17),Setzlisten!$A:$E,5,0)</f>
        <v>#N/A</v>
      </c>
      <c r="AA17" s="30" t="e">
        <f>VLOOKUP(CONCATENATE($D7," ",Y17),Setzlisten!$A:$E,5,0)</f>
        <v>#N/A</v>
      </c>
      <c r="AB17" s="31">
        <v>10</v>
      </c>
      <c r="AD17" s="32"/>
    </row>
    <row r="18" s="11" customFormat="1" ht="30" customHeight="1">
      <c r="A18" s="71" t="s">
        <v>152</v>
      </c>
      <c r="B18" s="104"/>
      <c r="C18" s="105">
        <f>IF(D18="",0,VLOOKUP(D18,$Z8:$AB22,3,0))</f>
        <v>0</v>
      </c>
      <c r="D18" s="106"/>
      <c r="E18" s="107"/>
      <c r="F18" s="108">
        <f>IF(G18="",0,VLOOKUP(G18,$AA8:$AB22,2,0))</f>
        <v>0</v>
      </c>
      <c r="G18" s="109"/>
      <c r="I18" s="77"/>
      <c r="J18" s="78"/>
      <c r="K18" s="77"/>
      <c r="L18" s="78"/>
      <c r="M18" s="77"/>
      <c r="N18" s="79"/>
      <c r="O18" s="108" t="str">
        <f t="shared" ref="O18:O19" si="124">IF(I18="","",SUM(I18,K18,M18))</f>
        <v/>
      </c>
      <c r="P18" s="110" t="str">
        <f t="shared" si="119"/>
        <v/>
      </c>
      <c r="Q18" s="105" t="str">
        <f t="shared" si="120"/>
        <v/>
      </c>
      <c r="R18" s="111" t="str">
        <f t="shared" si="121"/>
        <v/>
      </c>
      <c r="S18" s="112" t="str">
        <f t="shared" si="122"/>
        <v/>
      </c>
      <c r="T18" s="113" t="str">
        <f t="shared" si="123"/>
        <v/>
      </c>
      <c r="V18" s="98">
        <f t="shared" ref="V18:V19" si="125">C18</f>
        <v>0</v>
      </c>
      <c r="W18" s="99">
        <f t="shared" ref="W18:W19" si="126">F18</f>
        <v>0</v>
      </c>
      <c r="Y18" s="30">
        <v>11</v>
      </c>
      <c r="Z18" s="31" t="e">
        <f>VLOOKUP(CONCATENATE($D5," ",Y18),Setzlisten!$A:$E,5,0)</f>
        <v>#N/A</v>
      </c>
      <c r="AA18" s="30" t="e">
        <f>VLOOKUP(CONCATENATE($D7," ",Y18),Setzlisten!$A:$E,5,0)</f>
        <v>#N/A</v>
      </c>
      <c r="AB18" s="31">
        <v>11</v>
      </c>
      <c r="AD18" s="32"/>
    </row>
    <row r="19" s="11" customFormat="1" ht="30" customHeight="1">
      <c r="A19" s="71" t="s">
        <v>153</v>
      </c>
      <c r="B19" s="104"/>
      <c r="C19" s="105">
        <f>IF(D19="",0,VLOOKUP(D19,$Z8:$AB22,3,0))</f>
        <v>0</v>
      </c>
      <c r="D19" s="106"/>
      <c r="E19" s="107"/>
      <c r="F19" s="108">
        <f>IF(G19="",0,VLOOKUP(G19,$AA8:$AB22,2,0))</f>
        <v>0</v>
      </c>
      <c r="G19" s="109"/>
      <c r="I19" s="77"/>
      <c r="J19" s="78"/>
      <c r="K19" s="77"/>
      <c r="L19" s="78"/>
      <c r="M19" s="77"/>
      <c r="N19" s="79"/>
      <c r="O19" s="108" t="str">
        <f t="shared" si="124"/>
        <v/>
      </c>
      <c r="P19" s="110" t="str">
        <f t="shared" si="119"/>
        <v/>
      </c>
      <c r="Q19" s="105" t="str">
        <f t="shared" si="120"/>
        <v/>
      </c>
      <c r="R19" s="111" t="str">
        <f t="shared" si="121"/>
        <v/>
      </c>
      <c r="S19" s="112" t="str">
        <f t="shared" si="122"/>
        <v/>
      </c>
      <c r="T19" s="113" t="str">
        <f t="shared" si="123"/>
        <v/>
      </c>
      <c r="V19" s="102">
        <f t="shared" si="125"/>
        <v>0</v>
      </c>
      <c r="W19" s="103">
        <f t="shared" si="126"/>
        <v>0</v>
      </c>
      <c r="Y19" s="30">
        <v>12</v>
      </c>
      <c r="Z19" s="31" t="e">
        <f>VLOOKUP(CONCATENATE($D5," ",Y19),Setzlisten!$A:$E,5,0)</f>
        <v>#N/A</v>
      </c>
      <c r="AA19" s="30" t="e">
        <f>VLOOKUP(CONCATENATE($D7," ",Y19),Setzlisten!$A:$E,5,0)</f>
        <v>#N/A</v>
      </c>
      <c r="AB19" s="31">
        <v>12</v>
      </c>
      <c r="AD19" s="32"/>
    </row>
    <row r="20" s="70" customFormat="1" ht="9">
      <c r="Y20" s="30">
        <v>13</v>
      </c>
      <c r="Z20" s="31" t="e">
        <f>VLOOKUP(CONCATENATE($D5," ",Y20),Setzlisten!$A:$E,5,0)</f>
        <v>#N/A</v>
      </c>
      <c r="AA20" s="30" t="e">
        <f>VLOOKUP(CONCATENATE($D7," ",Y20),Setzlisten!$A:$E,5,0)</f>
        <v>#N/A</v>
      </c>
      <c r="AB20" s="31">
        <v>13</v>
      </c>
      <c r="AD20" s="32"/>
    </row>
    <row r="21" s="11" customFormat="1" ht="15.75">
      <c r="A21" s="114" t="s">
        <v>154</v>
      </c>
      <c r="B21" s="34"/>
      <c r="C21" s="115" t="s">
        <v>155</v>
      </c>
      <c r="D21" s="116"/>
      <c r="E21" s="117" t="str">
        <f>IF(S21="","",IF(S21&gt;T21,D5,D7))</f>
        <v/>
      </c>
      <c r="F21" s="118"/>
      <c r="G21" s="119"/>
      <c r="I21" s="115" t="s">
        <v>156</v>
      </c>
      <c r="J21" s="120"/>
      <c r="K21" s="120"/>
      <c r="L21" s="120"/>
      <c r="M21" s="120"/>
      <c r="N21" s="116"/>
      <c r="O21" s="82" t="str">
        <f t="shared" ref="O21:T21" si="127">IF(O12="","",SUM(O12:O19))</f>
        <v/>
      </c>
      <c r="P21" s="121" t="str">
        <f t="shared" si="127"/>
        <v/>
      </c>
      <c r="Q21" s="82" t="str">
        <f t="shared" si="127"/>
        <v/>
      </c>
      <c r="R21" s="121" t="str">
        <f t="shared" si="127"/>
        <v/>
      </c>
      <c r="S21" s="82" t="str">
        <f t="shared" si="127"/>
        <v/>
      </c>
      <c r="T21" s="122" t="str">
        <f t="shared" si="127"/>
        <v/>
      </c>
      <c r="Y21" s="30">
        <v>14</v>
      </c>
      <c r="Z21" s="31" t="e">
        <f>VLOOKUP(CONCATENATE($D5," ",Y21),Setzlisten!$A:$E,5,0)</f>
        <v>#N/A</v>
      </c>
      <c r="AA21" s="30" t="e">
        <f>VLOOKUP(CONCATENATE($D7," ",Y21),Setzlisten!$A:$E,5,0)</f>
        <v>#N/A</v>
      </c>
      <c r="AB21" s="31">
        <v>14</v>
      </c>
      <c r="AD21" s="32"/>
    </row>
    <row r="22" s="11" customFormat="1" ht="23.25">
      <c r="A22" s="53">
        <f>Allgemeines!H6</f>
        <v>0.70833333333333337</v>
      </c>
      <c r="B22" s="34"/>
      <c r="C22" s="123"/>
      <c r="D22" s="124"/>
      <c r="E22" s="125"/>
      <c r="F22" s="126"/>
      <c r="G22" s="127"/>
      <c r="I22" s="123"/>
      <c r="J22" s="128"/>
      <c r="K22" s="128"/>
      <c r="L22" s="128"/>
      <c r="M22" s="128"/>
      <c r="N22" s="124"/>
      <c r="O22" s="129"/>
      <c r="P22" s="130"/>
      <c r="Q22" s="129"/>
      <c r="R22" s="130"/>
      <c r="S22" s="129"/>
      <c r="T22" s="131"/>
      <c r="Y22" s="132">
        <v>15</v>
      </c>
      <c r="Z22" s="133" t="e">
        <f>VLOOKUP(CONCATENATE($D5," ",Y22),Setzlisten!$A:$E,5,0)</f>
        <v>#N/A</v>
      </c>
      <c r="AA22" s="132" t="e">
        <f>VLOOKUP(CONCATENATE($D7," ",Y22),Setzlisten!$A:$E,5,0)</f>
        <v>#N/A</v>
      </c>
      <c r="AB22" s="133">
        <v>15</v>
      </c>
    </row>
    <row r="23" s="11" customFormat="1" ht="15" customHeight="1">
      <c r="A23" s="15"/>
    </row>
    <row r="24" s="11" customFormat="1" ht="30" customHeight="1">
      <c r="B24" s="21"/>
      <c r="C24" s="21"/>
      <c r="D24" s="134" t="s">
        <v>157</v>
      </c>
      <c r="E24" s="134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</row>
    <row r="25" s="11" customFormat="1">
      <c r="A25" s="14"/>
      <c r="P25" s="136"/>
      <c r="Q25" s="136"/>
      <c r="R25" s="136"/>
      <c r="S25" s="136"/>
      <c r="T25" s="136"/>
    </row>
    <row r="26" s="11" customFormat="1" ht="30" customHeight="1">
      <c r="A26" s="137" t="s">
        <v>158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</row>
    <row r="27" s="11" customFormat="1" ht="36" customHeight="1">
      <c r="A27" s="139" t="str">
        <f>Allgemeines!$B$3</f>
        <v>Hamburg</v>
      </c>
      <c r="B27" s="139"/>
      <c r="C27" s="139"/>
      <c r="D27" s="139"/>
      <c r="E27" s="140">
        <f>Allgemeines!$B$4</f>
        <v>46023</v>
      </c>
      <c r="G27" s="141"/>
      <c r="J27" s="141"/>
      <c r="K27" s="141"/>
      <c r="L27" s="141"/>
      <c r="M27" s="141"/>
      <c r="N27" s="141"/>
      <c r="P27" s="141"/>
      <c r="Q27" s="141"/>
      <c r="R27" s="141"/>
      <c r="S27" s="141"/>
      <c r="T27" s="141"/>
    </row>
    <row r="28" s="11" customFormat="1">
      <c r="A28" s="142"/>
      <c r="B28" s="142"/>
      <c r="C28" s="142"/>
      <c r="D28" s="142"/>
      <c r="E28" s="143"/>
      <c r="G28" s="144"/>
      <c r="J28" s="144"/>
      <c r="K28" s="144"/>
      <c r="L28" s="144"/>
      <c r="M28" s="144"/>
      <c r="N28" s="144"/>
      <c r="P28" s="144"/>
      <c r="Q28" s="144"/>
      <c r="R28" s="144"/>
      <c r="S28" s="144"/>
      <c r="T28" s="144"/>
    </row>
    <row r="29" s="11" customFormat="1" ht="15.75">
      <c r="A29" s="145" t="s">
        <v>159</v>
      </c>
      <c r="B29" s="145"/>
      <c r="C29" s="145"/>
      <c r="D29" s="145"/>
      <c r="E29" s="145" t="s">
        <v>160</v>
      </c>
      <c r="F29" s="40"/>
      <c r="G29" s="145" t="s">
        <v>2</v>
      </c>
      <c r="H29" s="40"/>
      <c r="I29" s="40"/>
      <c r="J29" s="146" t="s">
        <v>161</v>
      </c>
      <c r="K29" s="146"/>
      <c r="L29" s="146"/>
      <c r="M29" s="146"/>
      <c r="N29" s="146"/>
      <c r="O29" s="40"/>
      <c r="P29" s="146" t="s">
        <v>162</v>
      </c>
      <c r="Q29" s="146"/>
      <c r="R29" s="146"/>
      <c r="S29" s="146"/>
      <c r="T29" s="146"/>
    </row>
    <row r="30">
      <c r="G30" s="147" t="s">
        <v>163</v>
      </c>
      <c r="J30" s="147" t="s">
        <v>164</v>
      </c>
      <c r="K30" s="147"/>
      <c r="L30" s="147"/>
      <c r="M30" s="147"/>
      <c r="N30" s="147"/>
      <c r="P30" s="147" t="s">
        <v>165</v>
      </c>
      <c r="Q30" s="147"/>
      <c r="R30" s="147"/>
      <c r="S30" s="147"/>
      <c r="T30" s="147"/>
    </row>
    <row r="31">
      <c r="G31" s="141" t="str">
        <f>Allgemeines!$D$2</f>
        <v xml:space="preserve">George Washington</v>
      </c>
      <c r="J31" s="141" t="str">
        <f>IF(D5="","",VLOOKUP(D5,Allgemeines!$B$7:$D$12,3,0))</f>
        <v/>
      </c>
      <c r="K31" s="141"/>
      <c r="L31" s="141"/>
      <c r="M31" s="141"/>
      <c r="N31" s="141"/>
      <c r="P31" s="141" t="str">
        <f>IF(D7="","",VLOOKUP(D7,Allgemeines!$B$7:$D$12,3,0))</f>
        <v/>
      </c>
      <c r="Q31" s="141"/>
      <c r="R31" s="141"/>
      <c r="S31" s="141"/>
      <c r="T31" s="141"/>
    </row>
    <row r="32" ht="21">
      <c r="A32" s="9" t="s">
        <v>120</v>
      </c>
      <c r="F32" s="10" t="str">
        <f>IF(V43&gt;V45,CONCATENATE("Achtung! Teamreihenfolge ",D36," nicht richtig! 1. und 2. Doppel tauschen."),IF(V45&gt;V47,CONCATENATE("Achtung! Teamreihenfolge ",D36," nicht richtig! 2. und 3. Doppel tauschen."),IF(AND(V49&gt;=V50,V50&gt;0),CONCATENATE("Achtung! Teamreihenfolge ",D36," nicht richtig! Beide Einzel tauschen."),IF(W43&gt;W45,CONCATENATE("Achtung! Teamreihenfolge ",D38," nicht richtig! 1. und 2. Doppel tauschen."),IF(W45&gt;W47,CONCATENATE("Achtung! Teamreihenfolge ",D38," nicht richtig! 2. und 3. Doppel tauschen."),IF(AND(W49&gt;=W50,W50&gt;0),CONCATENATE("Achtung! Teamreihenfolge ",D38," nicht richtig! Beide Einzel tauschen."),""))))))</f>
        <v/>
      </c>
      <c r="G32" s="10"/>
      <c r="H32" s="10"/>
      <c r="I32" s="10"/>
      <c r="J32" s="10"/>
      <c r="K32" s="10"/>
      <c r="L32" s="10"/>
      <c r="M32" s="10"/>
      <c r="N32" s="10"/>
    </row>
    <row r="33" s="11" customFormat="1" ht="26.25">
      <c r="A33" s="12" t="s">
        <v>121</v>
      </c>
      <c r="B33" s="12"/>
      <c r="C33" s="12"/>
      <c r="D33" s="12"/>
      <c r="E33" s="12"/>
      <c r="F33" s="10"/>
      <c r="G33" s="10"/>
      <c r="H33" s="10"/>
      <c r="I33" s="10"/>
      <c r="J33" s="10"/>
      <c r="K33" s="10"/>
      <c r="L33" s="10"/>
      <c r="M33" s="10"/>
      <c r="N33" s="10"/>
    </row>
    <row r="34" s="11" customFormat="1" ht="26.25">
      <c r="A34" s="13" t="s">
        <v>122</v>
      </c>
      <c r="B34" s="12"/>
      <c r="C34" s="12"/>
      <c r="D34" s="12"/>
      <c r="E34" s="12"/>
      <c r="F34" s="10"/>
      <c r="G34" s="10"/>
      <c r="H34" s="10"/>
      <c r="I34" s="10"/>
      <c r="J34" s="10"/>
      <c r="K34" s="10"/>
      <c r="L34" s="10"/>
      <c r="M34" s="10"/>
      <c r="N34" s="10"/>
    </row>
    <row r="35" s="14" customFormat="1" ht="15" customHeight="1">
      <c r="A35" s="15"/>
      <c r="M35" s="16"/>
      <c r="V35" s="14"/>
      <c r="W35" s="14"/>
      <c r="AD35" s="17"/>
    </row>
    <row r="36" s="11" customFormat="1" ht="21" customHeight="1">
      <c r="A36" s="18" t="s">
        <v>123</v>
      </c>
      <c r="B36" s="18"/>
      <c r="C36" s="18"/>
      <c r="D36" s="19"/>
      <c r="E36" s="19"/>
      <c r="F36" s="19"/>
      <c r="G36" s="19"/>
      <c r="H36" s="19"/>
      <c r="K36" s="20"/>
      <c r="L36" s="21" t="s">
        <v>124</v>
      </c>
      <c r="M36" s="22" t="str">
        <f>Gruppe</f>
        <v>II</v>
      </c>
      <c r="N36" s="20"/>
      <c r="O36" s="20"/>
      <c r="P36" s="20"/>
      <c r="Q36" s="20"/>
      <c r="R36" s="20"/>
      <c r="S36" s="20"/>
      <c r="T36" s="20"/>
      <c r="V36" s="11"/>
      <c r="W36" s="23"/>
      <c r="AD36" s="17"/>
    </row>
    <row r="37" s="14" customFormat="1" ht="21" customHeight="1">
      <c r="C37" s="24" t="s">
        <v>125</v>
      </c>
      <c r="L37" s="24" t="s">
        <v>126</v>
      </c>
      <c r="M37" s="16"/>
      <c r="N37" s="16"/>
      <c r="O37" s="16"/>
      <c r="P37" s="16"/>
      <c r="Q37" s="16"/>
      <c r="V37" s="23"/>
      <c r="W37" s="23"/>
      <c r="AD37" s="17"/>
    </row>
    <row r="38" s="11" customFormat="1" ht="21" customHeight="1">
      <c r="A38" s="18" t="s">
        <v>127</v>
      </c>
      <c r="B38" s="18"/>
      <c r="C38" s="18"/>
      <c r="D38" s="19"/>
      <c r="E38" s="19"/>
      <c r="F38" s="19"/>
      <c r="G38" s="19"/>
      <c r="H38" s="19"/>
      <c r="J38" s="18" t="s">
        <v>128</v>
      </c>
      <c r="K38" s="18"/>
      <c r="L38" s="18"/>
      <c r="M38" s="22" t="str">
        <f>Austragungsort</f>
        <v xml:space="preserve">Sporthalle Berlin</v>
      </c>
      <c r="N38" s="25"/>
      <c r="O38" s="25"/>
      <c r="P38" s="25"/>
      <c r="Q38" s="25"/>
      <c r="R38" s="20"/>
      <c r="S38" s="20"/>
      <c r="T38" s="20"/>
      <c r="V38" s="23"/>
      <c r="W38" s="23"/>
      <c r="Y38" s="26" t="s">
        <v>129</v>
      </c>
      <c r="Z38" s="27"/>
      <c r="AA38" s="28" t="s">
        <v>130</v>
      </c>
      <c r="AB38" s="27"/>
      <c r="AD38" s="29" t="s">
        <v>131</v>
      </c>
      <c r="AE38" s="17"/>
      <c r="AF38" s="17"/>
      <c r="AG38" s="17"/>
      <c r="AH38" s="17"/>
      <c r="AI38" s="17"/>
      <c r="AJ38" s="17"/>
      <c r="AK38" s="17"/>
      <c r="AL38" s="17"/>
      <c r="AM38" s="17"/>
    </row>
    <row r="39" s="11" customFormat="1" ht="21">
      <c r="A39" s="15"/>
      <c r="C39" s="24" t="s">
        <v>132</v>
      </c>
      <c r="L39" s="24" t="s">
        <v>133</v>
      </c>
      <c r="V39" s="23"/>
      <c r="W39" s="23"/>
      <c r="Y39" s="30">
        <v>1</v>
      </c>
      <c r="Z39" s="31" t="e">
        <f>VLOOKUP(CONCATENATE($D36," ",Y39),Setzlisten!$A:$E,5,0)</f>
        <v>#N/A</v>
      </c>
      <c r="AA39" s="30" t="e">
        <f>VLOOKUP(CONCATENATE($D38," ",Y39),Setzlisten!$A:$E,5,0)</f>
        <v>#N/A</v>
      </c>
      <c r="AB39" s="31">
        <v>1</v>
      </c>
      <c r="AD39" s="32" t="str">
        <f>CONCATENATE(A43,": ",D43," mit ",D44," - ",G43," mit ",G44,", ",I43,":",J43,", ",K43,":",L43,IF(M43="","",CONCATENATE(", ",M43,":",N43)),CHAR(10),A45,": ",D45," mit ",D46," - ",G45," mit ",G46,", ",I45,":",J45,", ",K45,":",L45,IF(M45="","",CONCATENATE(", ",M45,":",N45)),CHAR(10),A47,": ",D47," mit ",D48," - ",G47," mit ",G48,", ",I47,":",J47,", ",K47,":",L47,IF(M47="","",CONCATENATE(", ",M47,":",N47)),CHAR(10),A49,": ",D49," - ",G49,", ",I49,":",J49,", ",K49,":",L49,IF(M49="","",CONCATENATE(", ",M49,":",N49)),CHAR(10),A50,": ",D50," - ",G50,", ",I50,":",J50,", ",K50,":",L50,IF(M50="","",CONCATENATE(", ",M50,":",N50)))</f>
        <v xml:space="preserve">1. Doppel
1st Doubles:  mit  -  mit , :, :
2. Doppel
2nd Doubles:  mit  -  mit , :, :
3. Doppel
3rd Doubles:  mit  -  mit , :, :
1. Einzel
1st Singles:  - , :, :
2. Einzel
2nd Singles:  - , :, :</v>
      </c>
      <c r="AE39" s="17"/>
      <c r="AF39" s="17"/>
      <c r="AG39" s="17"/>
      <c r="AH39" s="17"/>
      <c r="AI39" s="17"/>
      <c r="AJ39" s="17"/>
      <c r="AK39" s="17"/>
      <c r="AL39" s="17"/>
      <c r="AM39" s="17"/>
    </row>
    <row r="40" s="11" customFormat="1" ht="26.25" customHeight="1">
      <c r="A40" s="33" t="s">
        <v>134</v>
      </c>
      <c r="B40" s="34"/>
      <c r="C40" s="35" t="s">
        <v>135</v>
      </c>
      <c r="D40" s="36" t="s">
        <v>136</v>
      </c>
      <c r="E40" s="37"/>
      <c r="F40" s="38" t="s">
        <v>135</v>
      </c>
      <c r="G40" s="39" t="s">
        <v>137</v>
      </c>
      <c r="H40" s="40"/>
      <c r="I40" s="41" t="s">
        <v>138</v>
      </c>
      <c r="J40" s="42"/>
      <c r="K40" s="41" t="s">
        <v>139</v>
      </c>
      <c r="L40" s="42"/>
      <c r="M40" s="43" t="s">
        <v>140</v>
      </c>
      <c r="N40" s="44"/>
      <c r="O40" s="45" t="s">
        <v>141</v>
      </c>
      <c r="P40" s="46"/>
      <c r="Q40" s="47" t="s">
        <v>142</v>
      </c>
      <c r="R40" s="48"/>
      <c r="S40" s="49" t="s">
        <v>143</v>
      </c>
      <c r="T40" s="50"/>
      <c r="V40" s="51" t="s">
        <v>144</v>
      </c>
      <c r="W40" s="52" t="s">
        <v>145</v>
      </c>
      <c r="Y40" s="30">
        <v>2</v>
      </c>
      <c r="Z40" s="31" t="e">
        <f>VLOOKUP(CONCATENATE($D36," ",Y40),Setzlisten!$A:$E,5,0)</f>
        <v>#N/A</v>
      </c>
      <c r="AA40" s="30" t="e">
        <f>VLOOKUP(CONCATENATE($D38," ",Y40),Setzlisten!$A:$E,5,0)</f>
        <v>#N/A</v>
      </c>
      <c r="AB40" s="31">
        <v>2</v>
      </c>
      <c r="AD40" s="32"/>
      <c r="AE40" s="17"/>
      <c r="AF40" s="17"/>
      <c r="AG40" s="17"/>
      <c r="AH40" s="17"/>
      <c r="AI40" s="17"/>
      <c r="AJ40" s="17"/>
      <c r="AK40" s="17"/>
      <c r="AL40" s="17"/>
      <c r="AM40" s="17"/>
    </row>
    <row r="41" s="11" customFormat="1" ht="29.25" customHeight="1">
      <c r="A41" s="53">
        <f>A10</f>
        <v>0.64583333333333337</v>
      </c>
      <c r="B41" s="34"/>
      <c r="C41" s="54"/>
      <c r="D41" s="55"/>
      <c r="E41" s="56"/>
      <c r="F41" s="57"/>
      <c r="G41" s="58"/>
      <c r="H41" s="40"/>
      <c r="I41" s="59"/>
      <c r="J41" s="60"/>
      <c r="K41" s="59"/>
      <c r="L41" s="60"/>
      <c r="M41" s="61"/>
      <c r="N41" s="62"/>
      <c r="O41" s="63" t="s">
        <v>146</v>
      </c>
      <c r="P41" s="64" t="s">
        <v>147</v>
      </c>
      <c r="Q41" s="65" t="s">
        <v>146</v>
      </c>
      <c r="R41" s="66" t="s">
        <v>147</v>
      </c>
      <c r="S41" s="64" t="s">
        <v>146</v>
      </c>
      <c r="T41" s="67" t="s">
        <v>147</v>
      </c>
      <c r="V41" s="68"/>
      <c r="W41" s="69"/>
      <c r="Y41" s="30">
        <v>3</v>
      </c>
      <c r="Z41" s="31" t="e">
        <f>VLOOKUP(CONCATENATE($D36," ",Y41),Setzlisten!$A:$E,5,0)</f>
        <v>#N/A</v>
      </c>
      <c r="AA41" s="30" t="e">
        <f>VLOOKUP(CONCATENATE($D38," ",Y41),Setzlisten!$A:$E,5,0)</f>
        <v>#N/A</v>
      </c>
      <c r="AB41" s="31">
        <v>3</v>
      </c>
      <c r="AD41" s="32"/>
      <c r="AE41" s="17"/>
      <c r="AF41" s="17"/>
      <c r="AG41" s="17"/>
      <c r="AH41" s="17"/>
      <c r="AI41" s="17"/>
      <c r="AJ41" s="17"/>
      <c r="AK41" s="17"/>
      <c r="AL41" s="17"/>
      <c r="AM41" s="17"/>
    </row>
    <row r="42" s="70" customFormat="1" ht="9">
      <c r="V42" s="30"/>
      <c r="W42" s="31"/>
      <c r="Y42" s="30">
        <v>4</v>
      </c>
      <c r="Z42" s="31" t="e">
        <f>VLOOKUP(CONCATENATE($D36," ",Y42),Setzlisten!$A:$E,5,0)</f>
        <v>#N/A</v>
      </c>
      <c r="AA42" s="30" t="e">
        <f>VLOOKUP(CONCATENATE($D38," ",Y42),Setzlisten!$A:$E,5,0)</f>
        <v>#N/A</v>
      </c>
      <c r="AB42" s="31">
        <v>4</v>
      </c>
      <c r="AD42" s="32"/>
    </row>
    <row r="43" s="11" customFormat="1" ht="24" customHeight="1">
      <c r="A43" s="71" t="s">
        <v>148</v>
      </c>
      <c r="C43" s="72">
        <f>IF(D43="",0,VLOOKUP(D43,$Z39:$AB53,3,0))</f>
        <v>0</v>
      </c>
      <c r="D43" s="73"/>
      <c r="E43" s="74"/>
      <c r="F43" s="75">
        <f>IF(G43="",0,VLOOKUP(G43,$AA39:$AB53,2,0))</f>
        <v>0</v>
      </c>
      <c r="G43" s="76"/>
      <c r="H43" s="148"/>
      <c r="I43" s="77"/>
      <c r="J43" s="78"/>
      <c r="K43" s="77"/>
      <c r="L43" s="78"/>
      <c r="M43" s="77"/>
      <c r="N43" s="79"/>
      <c r="O43" s="80" t="str">
        <f>IF(I43="","",SUM(I43,K43,M43))</f>
        <v/>
      </c>
      <c r="P43" s="81" t="str">
        <f>IF(J43="","",SUM(J43,L43,N43))</f>
        <v/>
      </c>
      <c r="Q43" s="82" t="str">
        <f>IF(I43="","",IF(I43&gt;J43,1,0)+IF(K43&gt;L43,1,0)+IF(M43="",0,IF(M43&gt;N43,1,0)))</f>
        <v/>
      </c>
      <c r="R43" s="83" t="str">
        <f>IF(I43="","",IF(J43&gt;I43,1,0)+IF(L43&gt;K43,1,0)+IF(M43="",0,IF(N43&gt;M43,1,0)))</f>
        <v/>
      </c>
      <c r="S43" s="84" t="str">
        <f>IF(I43="","",IF(Q43&gt;R43,1,0))</f>
        <v/>
      </c>
      <c r="T43" s="85" t="str">
        <f>IF(I43="","",IF(R43&gt;Q43,1,0))</f>
        <v/>
      </c>
      <c r="V43" s="86">
        <f>C43+C44</f>
        <v>0</v>
      </c>
      <c r="W43" s="87">
        <f>F43+F44</f>
        <v>0</v>
      </c>
      <c r="Y43" s="30">
        <v>5</v>
      </c>
      <c r="Z43" s="31" t="e">
        <f>VLOOKUP(CONCATENATE($D36," ",Y43),Setzlisten!$A:$E,5,0)</f>
        <v>#N/A</v>
      </c>
      <c r="AA43" s="30" t="e">
        <f>VLOOKUP(CONCATENATE($D38," ",Y43),Setzlisten!$A:$E,5,0)</f>
        <v>#N/A</v>
      </c>
      <c r="AB43" s="31">
        <v>5</v>
      </c>
      <c r="AD43" s="32"/>
    </row>
    <row r="44" s="11" customFormat="1" ht="24" customHeight="1">
      <c r="A44" s="88"/>
      <c r="C44" s="89">
        <f>IF(D44="",0,VLOOKUP(D44,$Z39:$AB53,3,0))</f>
        <v>0</v>
      </c>
      <c r="D44" s="90"/>
      <c r="E44" s="91"/>
      <c r="F44" s="92">
        <f>IF(G44="",0,VLOOKUP(G44,$AA39:$AB53,2,0))</f>
        <v>0</v>
      </c>
      <c r="G44" s="93"/>
      <c r="H44" s="148"/>
      <c r="I44" s="77"/>
      <c r="J44" s="78"/>
      <c r="K44" s="77"/>
      <c r="L44" s="78"/>
      <c r="M44" s="77"/>
      <c r="N44" s="79"/>
      <c r="O44" s="92"/>
      <c r="P44" s="94"/>
      <c r="Q44" s="89"/>
      <c r="R44" s="95"/>
      <c r="S44" s="96"/>
      <c r="T44" s="97"/>
      <c r="V44" s="98"/>
      <c r="W44" s="99"/>
      <c r="Y44" s="30">
        <v>6</v>
      </c>
      <c r="Z44" s="31" t="e">
        <f>VLOOKUP(CONCATENATE($D36," ",Y44),Setzlisten!$A:$E,5,0)</f>
        <v>#N/A</v>
      </c>
      <c r="AA44" s="30" t="e">
        <f>VLOOKUP(CONCATENATE($D38," ",Y44),Setzlisten!$A:$E,5,0)</f>
        <v>#N/A</v>
      </c>
      <c r="AB44" s="31">
        <v>6</v>
      </c>
      <c r="AD44" s="32"/>
    </row>
    <row r="45" s="11" customFormat="1" ht="24" customHeight="1">
      <c r="A45" s="71" t="s">
        <v>149</v>
      </c>
      <c r="C45" s="72">
        <f>IF(D45="",0,VLOOKUP(D45,$Z39:$AB53,3,0))</f>
        <v>0</v>
      </c>
      <c r="D45" s="73"/>
      <c r="E45" s="74"/>
      <c r="F45" s="75">
        <f>IF(G45="",0,VLOOKUP(G45,$AA39:$AB53,2,0))</f>
        <v>0</v>
      </c>
      <c r="G45" s="76"/>
      <c r="H45" s="148"/>
      <c r="I45" s="77"/>
      <c r="J45" s="100"/>
      <c r="K45" s="77"/>
      <c r="L45" s="78"/>
      <c r="M45" s="77"/>
      <c r="N45" s="79"/>
      <c r="O45" s="80" t="str">
        <f>IF(I45="","",SUM(I45,K45,M45))</f>
        <v/>
      </c>
      <c r="P45" s="81" t="str">
        <f t="shared" ref="P45:P50" si="128">IF(J45="","",SUM(J45,L45,N45))</f>
        <v/>
      </c>
      <c r="Q45" s="82" t="str">
        <f t="shared" ref="Q45:Q50" si="129">IF(I45="","",IF(I45&gt;J45,1,0)+IF(K45&gt;L45,1,0)+IF(M45="",0,IF(M45&gt;N45,1,0)))</f>
        <v/>
      </c>
      <c r="R45" s="83" t="str">
        <f t="shared" ref="R45:R50" si="130">IF(I45="","",IF(J45&gt;I45,1,0)+IF(L45&gt;K45,1,0)+IF(M45="",0,IF(N45&gt;M45,1,0)))</f>
        <v/>
      </c>
      <c r="S45" s="84" t="str">
        <f t="shared" ref="S45:S50" si="131">IF(I45="","",IF(Q45&gt;R45,1,0))</f>
        <v/>
      </c>
      <c r="T45" s="85" t="str">
        <f t="shared" ref="T45:T50" si="132">IF(I45="","",IF(R45&gt;Q45,1,0))</f>
        <v/>
      </c>
      <c r="V45" s="98">
        <f>C45+C46</f>
        <v>0</v>
      </c>
      <c r="W45" s="99">
        <f>F45+F46</f>
        <v>0</v>
      </c>
      <c r="Y45" s="30">
        <v>7</v>
      </c>
      <c r="Z45" s="31" t="e">
        <f>VLOOKUP(CONCATENATE($D36," ",Y45),Setzlisten!$A:$E,5,0)</f>
        <v>#N/A</v>
      </c>
      <c r="AA45" s="30" t="e">
        <f>VLOOKUP(CONCATENATE($D38," ",Y45),Setzlisten!$A:$E,5,0)</f>
        <v>#N/A</v>
      </c>
      <c r="AB45" s="31">
        <v>7</v>
      </c>
      <c r="AD45" s="101" t="s">
        <v>150</v>
      </c>
    </row>
    <row r="46" s="11" customFormat="1" ht="24" customHeight="1">
      <c r="A46" s="88"/>
      <c r="C46" s="89">
        <f>IF(D46="",0,VLOOKUP(D46,$Z39:$AB53,3,0))</f>
        <v>0</v>
      </c>
      <c r="D46" s="90"/>
      <c r="E46" s="91"/>
      <c r="F46" s="92">
        <f>IF(G46="",0,VLOOKUP(G46,$AA39:$AB53,2,0))</f>
        <v>0</v>
      </c>
      <c r="G46" s="93"/>
      <c r="H46" s="148"/>
      <c r="I46" s="77"/>
      <c r="J46" s="78"/>
      <c r="K46" s="77"/>
      <c r="L46" s="78"/>
      <c r="M46" s="77"/>
      <c r="N46" s="79"/>
      <c r="O46" s="92"/>
      <c r="P46" s="94"/>
      <c r="Q46" s="89"/>
      <c r="R46" s="95"/>
      <c r="S46" s="96"/>
      <c r="T46" s="97"/>
      <c r="V46" s="98"/>
      <c r="W46" s="99"/>
      <c r="Y46" s="30">
        <v>8</v>
      </c>
      <c r="Z46" s="31" t="e">
        <f>VLOOKUP(CONCATENATE($D36," ",Y46),Setzlisten!$A:$E,5,0)</f>
        <v>#N/A</v>
      </c>
      <c r="AA46" s="30" t="e">
        <f>VLOOKUP(CONCATENATE($D38," ",Y46),Setzlisten!$A:$E,5,0)</f>
        <v>#N/A</v>
      </c>
      <c r="AB46" s="31">
        <v>8</v>
      </c>
      <c r="AD46" s="101"/>
    </row>
    <row r="47" s="11" customFormat="1" ht="24" customHeight="1">
      <c r="A47" s="71" t="s">
        <v>151</v>
      </c>
      <c r="C47" s="72">
        <f>IF(D47="",0,VLOOKUP(D47,$Z39:$AB53,3,0))</f>
        <v>0</v>
      </c>
      <c r="D47" s="73"/>
      <c r="E47" s="74"/>
      <c r="F47" s="75">
        <f>IF(G47="",0,VLOOKUP(G47,$AA39:$AB53,2,0))</f>
        <v>0</v>
      </c>
      <c r="G47" s="76"/>
      <c r="H47" s="148"/>
      <c r="I47" s="77"/>
      <c r="J47" s="78"/>
      <c r="K47" s="77"/>
      <c r="L47" s="78"/>
      <c r="M47" s="77"/>
      <c r="N47" s="79"/>
      <c r="O47" s="80" t="str">
        <f>IF(I47="","",SUM(I47,K47,M47))</f>
        <v/>
      </c>
      <c r="P47" s="81" t="str">
        <f t="shared" si="128"/>
        <v/>
      </c>
      <c r="Q47" s="82" t="str">
        <f t="shared" si="129"/>
        <v/>
      </c>
      <c r="R47" s="83" t="str">
        <f t="shared" si="130"/>
        <v/>
      </c>
      <c r="S47" s="84" t="str">
        <f t="shared" si="131"/>
        <v/>
      </c>
      <c r="T47" s="85" t="str">
        <f t="shared" si="132"/>
        <v/>
      </c>
      <c r="V47" s="98">
        <f>C47+C48</f>
        <v>0</v>
      </c>
      <c r="W47" s="99">
        <f>F47+F48</f>
        <v>0</v>
      </c>
      <c r="Y47" s="30">
        <v>9</v>
      </c>
      <c r="Z47" s="31" t="e">
        <f>VLOOKUP(CONCATENATE($D36," ",Y47),Setzlisten!$A:$E,5,0)</f>
        <v>#N/A</v>
      </c>
      <c r="AA47" s="30" t="e">
        <f>VLOOKUP(CONCATENATE($D38," ",Y47),Setzlisten!$A:$E,5,0)</f>
        <v>#N/A</v>
      </c>
      <c r="AB47" s="31">
        <v>9</v>
      </c>
      <c r="AD47" s="32"/>
    </row>
    <row r="48" s="11" customFormat="1" ht="24" customHeight="1">
      <c r="A48" s="88"/>
      <c r="C48" s="89">
        <f>IF(D48="",0,VLOOKUP(D48,$Z39:$AB53,3,0))</f>
        <v>0</v>
      </c>
      <c r="D48" s="90"/>
      <c r="E48" s="91"/>
      <c r="F48" s="92">
        <f>IF(G48="",0,VLOOKUP(G48,$AA39:$AB53,2,0))</f>
        <v>0</v>
      </c>
      <c r="G48" s="93"/>
      <c r="H48" s="148"/>
      <c r="I48" s="77"/>
      <c r="J48" s="78"/>
      <c r="K48" s="77"/>
      <c r="L48" s="78"/>
      <c r="M48" s="77"/>
      <c r="N48" s="79"/>
      <c r="O48" s="92"/>
      <c r="P48" s="94"/>
      <c r="Q48" s="89"/>
      <c r="R48" s="95"/>
      <c r="S48" s="96"/>
      <c r="T48" s="97"/>
      <c r="V48" s="102"/>
      <c r="W48" s="103"/>
      <c r="Y48" s="30">
        <v>10</v>
      </c>
      <c r="Z48" s="31" t="e">
        <f>VLOOKUP(CONCATENATE($D36," ",Y48),Setzlisten!$A:$E,5,0)</f>
        <v>#N/A</v>
      </c>
      <c r="AA48" s="30" t="e">
        <f>VLOOKUP(CONCATENATE($D38," ",Y48),Setzlisten!$A:$E,5,0)</f>
        <v>#N/A</v>
      </c>
      <c r="AB48" s="31">
        <v>10</v>
      </c>
      <c r="AD48" s="32"/>
    </row>
    <row r="49" s="11" customFormat="1" ht="30" customHeight="1">
      <c r="A49" s="71" t="s">
        <v>152</v>
      </c>
      <c r="B49" s="104"/>
      <c r="C49" s="105">
        <f>IF(D49="",0,VLOOKUP(D49,$Z39:$AB53,3,0))</f>
        <v>0</v>
      </c>
      <c r="D49" s="106"/>
      <c r="E49" s="107"/>
      <c r="F49" s="108">
        <f>IF(G49="",0,VLOOKUP(G49,$AA39:$AB53,2,0))</f>
        <v>0</v>
      </c>
      <c r="G49" s="109"/>
      <c r="H49" s="148"/>
      <c r="I49" s="77"/>
      <c r="J49" s="78"/>
      <c r="K49" s="77"/>
      <c r="L49" s="78"/>
      <c r="M49" s="77"/>
      <c r="N49" s="79"/>
      <c r="O49" s="149" t="str">
        <f t="shared" ref="O49:O50" si="133">IF(I49="","",SUM(I49,K49,M49))</f>
        <v/>
      </c>
      <c r="P49" s="150" t="str">
        <f t="shared" si="128"/>
        <v/>
      </c>
      <c r="Q49" s="151" t="str">
        <f t="shared" si="129"/>
        <v/>
      </c>
      <c r="R49" s="152" t="str">
        <f t="shared" si="130"/>
        <v/>
      </c>
      <c r="S49" s="153" t="str">
        <f t="shared" si="131"/>
        <v/>
      </c>
      <c r="T49" s="154" t="str">
        <f t="shared" si="132"/>
        <v/>
      </c>
      <c r="V49" s="98">
        <f t="shared" ref="V49:V50" si="134">C49</f>
        <v>0</v>
      </c>
      <c r="W49" s="99">
        <f t="shared" ref="W49:W50" si="135">F49</f>
        <v>0</v>
      </c>
      <c r="Y49" s="30">
        <v>11</v>
      </c>
      <c r="Z49" s="31" t="e">
        <f>VLOOKUP(CONCATENATE($D36," ",Y49),Setzlisten!$A:$E,5,0)</f>
        <v>#N/A</v>
      </c>
      <c r="AA49" s="30" t="e">
        <f>VLOOKUP(CONCATENATE($D38," ",Y49),Setzlisten!$A:$E,5,0)</f>
        <v>#N/A</v>
      </c>
      <c r="AB49" s="31">
        <v>11</v>
      </c>
      <c r="AD49" s="32"/>
    </row>
    <row r="50" s="11" customFormat="1" ht="30" customHeight="1">
      <c r="A50" s="71" t="s">
        <v>153</v>
      </c>
      <c r="B50" s="104"/>
      <c r="C50" s="105">
        <f>IF(D50="",0,VLOOKUP(D50,$Z39:$AB53,3,0))</f>
        <v>0</v>
      </c>
      <c r="D50" s="106"/>
      <c r="E50" s="107"/>
      <c r="F50" s="108">
        <f>IF(G50="",0,VLOOKUP(G50,$AA39:$AB53,2,0))</f>
        <v>0</v>
      </c>
      <c r="G50" s="109"/>
      <c r="H50" s="148"/>
      <c r="I50" s="77"/>
      <c r="J50" s="78"/>
      <c r="K50" s="77"/>
      <c r="L50" s="78"/>
      <c r="M50" s="77"/>
      <c r="N50" s="79"/>
      <c r="O50" s="149" t="str">
        <f t="shared" si="133"/>
        <v/>
      </c>
      <c r="P50" s="150" t="str">
        <f t="shared" si="128"/>
        <v/>
      </c>
      <c r="Q50" s="151" t="str">
        <f t="shared" si="129"/>
        <v/>
      </c>
      <c r="R50" s="152" t="str">
        <f t="shared" si="130"/>
        <v/>
      </c>
      <c r="S50" s="153" t="str">
        <f t="shared" si="131"/>
        <v/>
      </c>
      <c r="T50" s="154" t="str">
        <f t="shared" si="132"/>
        <v/>
      </c>
      <c r="V50" s="102">
        <f t="shared" si="134"/>
        <v>0</v>
      </c>
      <c r="W50" s="103">
        <f t="shared" si="135"/>
        <v>0</v>
      </c>
      <c r="Y50" s="30">
        <v>12</v>
      </c>
      <c r="Z50" s="31" t="e">
        <f>VLOOKUP(CONCATENATE($D36," ",Y50),Setzlisten!$A:$E,5,0)</f>
        <v>#N/A</v>
      </c>
      <c r="AA50" s="30" t="e">
        <f>VLOOKUP(CONCATENATE($D38," ",Y50),Setzlisten!$A:$E,5,0)</f>
        <v>#N/A</v>
      </c>
      <c r="AB50" s="31">
        <v>12</v>
      </c>
      <c r="AD50" s="32"/>
    </row>
    <row r="51" s="70" customFormat="1" ht="9">
      <c r="Y51" s="30">
        <v>13</v>
      </c>
      <c r="Z51" s="31" t="e">
        <f>VLOOKUP(CONCATENATE($D36," ",Y51),Setzlisten!$A:$E,5,0)</f>
        <v>#N/A</v>
      </c>
      <c r="AA51" s="30" t="e">
        <f>VLOOKUP(CONCATENATE($D38," ",Y51),Setzlisten!$A:$E,5,0)</f>
        <v>#N/A</v>
      </c>
      <c r="AB51" s="31">
        <v>13</v>
      </c>
      <c r="AD51" s="32"/>
    </row>
    <row r="52" s="11" customFormat="1" ht="15.75">
      <c r="A52" s="114" t="s">
        <v>154</v>
      </c>
      <c r="B52" s="34"/>
      <c r="C52" s="115" t="s">
        <v>155</v>
      </c>
      <c r="D52" s="116"/>
      <c r="E52" s="117" t="str">
        <f>IF(S52="","",IF(S52&gt;T52,D36,D38))</f>
        <v/>
      </c>
      <c r="F52" s="118"/>
      <c r="G52" s="119"/>
      <c r="I52" s="115" t="s">
        <v>156</v>
      </c>
      <c r="J52" s="120"/>
      <c r="K52" s="120"/>
      <c r="L52" s="120"/>
      <c r="M52" s="120"/>
      <c r="N52" s="116"/>
      <c r="O52" s="82" t="str">
        <f t="shared" ref="O52:T52" si="136">IF(O43="","",SUM(O43:O50))</f>
        <v/>
      </c>
      <c r="P52" s="121" t="str">
        <f t="shared" si="136"/>
        <v/>
      </c>
      <c r="Q52" s="82" t="str">
        <f t="shared" si="136"/>
        <v/>
      </c>
      <c r="R52" s="121" t="str">
        <f t="shared" si="136"/>
        <v/>
      </c>
      <c r="S52" s="82" t="str">
        <f t="shared" si="136"/>
        <v/>
      </c>
      <c r="T52" s="122" t="str">
        <f t="shared" si="136"/>
        <v/>
      </c>
      <c r="Y52" s="30">
        <v>14</v>
      </c>
      <c r="Z52" s="31" t="e">
        <f>VLOOKUP(CONCATENATE($D36," ",Y52),Setzlisten!$A:$E,5,0)</f>
        <v>#N/A</v>
      </c>
      <c r="AA52" s="30" t="e">
        <f>VLOOKUP(CONCATENATE($D38," ",Y52),Setzlisten!$A:$E,5,0)</f>
        <v>#N/A</v>
      </c>
      <c r="AB52" s="31">
        <v>14</v>
      </c>
      <c r="AD52" s="32"/>
    </row>
    <row r="53" s="11" customFormat="1" ht="23.25">
      <c r="A53" s="53">
        <f>A22</f>
        <v>0.70833333333333337</v>
      </c>
      <c r="B53" s="34"/>
      <c r="C53" s="123"/>
      <c r="D53" s="124"/>
      <c r="E53" s="125"/>
      <c r="F53" s="126"/>
      <c r="G53" s="127"/>
      <c r="I53" s="123"/>
      <c r="J53" s="128"/>
      <c r="K53" s="128"/>
      <c r="L53" s="128"/>
      <c r="M53" s="128"/>
      <c r="N53" s="124"/>
      <c r="O53" s="129"/>
      <c r="P53" s="130"/>
      <c r="Q53" s="129"/>
      <c r="R53" s="130"/>
      <c r="S53" s="129"/>
      <c r="T53" s="131"/>
      <c r="Y53" s="132">
        <v>15</v>
      </c>
      <c r="Z53" s="133" t="e">
        <f>VLOOKUP(CONCATENATE($D36," ",Y53),Setzlisten!$A:$E,5,0)</f>
        <v>#N/A</v>
      </c>
      <c r="AA53" s="132" t="e">
        <f>VLOOKUP(CONCATENATE($D38," ",Y53),Setzlisten!$A:$E,5,0)</f>
        <v>#N/A</v>
      </c>
      <c r="AB53" s="133">
        <v>15</v>
      </c>
    </row>
    <row r="54" s="11" customFormat="1" ht="15" customHeight="1">
      <c r="A54" s="15"/>
    </row>
    <row r="55" s="11" customFormat="1" ht="30" customHeight="1">
      <c r="B55" s="21"/>
      <c r="C55" s="21"/>
      <c r="D55" s="134" t="s">
        <v>157</v>
      </c>
      <c r="E55" s="134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</row>
    <row r="56" s="11" customFormat="1">
      <c r="A56" s="14"/>
      <c r="P56" s="136"/>
      <c r="Q56" s="136"/>
      <c r="R56" s="136"/>
      <c r="S56" s="136"/>
      <c r="T56" s="136"/>
    </row>
    <row r="57" s="11" customFormat="1" ht="30" customHeight="1">
      <c r="A57" s="137" t="s">
        <v>158</v>
      </c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</row>
    <row r="58" s="11" customFormat="1" ht="36" customHeight="1">
      <c r="A58" s="139" t="str">
        <f>Allgemeines!$B$3</f>
        <v>Hamburg</v>
      </c>
      <c r="B58" s="139"/>
      <c r="C58" s="139"/>
      <c r="D58" s="139"/>
      <c r="E58" s="140">
        <f>Allgemeines!$B$4</f>
        <v>46023</v>
      </c>
      <c r="G58" s="141"/>
      <c r="J58" s="141"/>
      <c r="K58" s="141"/>
      <c r="L58" s="141"/>
      <c r="M58" s="141"/>
      <c r="N58" s="141"/>
      <c r="P58" s="141"/>
      <c r="Q58" s="141"/>
      <c r="R58" s="141"/>
      <c r="S58" s="141"/>
      <c r="T58" s="141"/>
    </row>
    <row r="59" s="11" customFormat="1">
      <c r="A59" s="142"/>
      <c r="B59" s="142"/>
      <c r="C59" s="142"/>
      <c r="D59" s="142"/>
      <c r="E59" s="143"/>
      <c r="G59" s="144"/>
      <c r="J59" s="144"/>
      <c r="K59" s="144"/>
      <c r="L59" s="144"/>
      <c r="M59" s="144"/>
      <c r="N59" s="144"/>
      <c r="P59" s="144"/>
      <c r="Q59" s="144"/>
      <c r="R59" s="144"/>
      <c r="S59" s="144"/>
      <c r="T59" s="144"/>
    </row>
    <row r="60" s="11" customFormat="1" ht="15.75">
      <c r="A60" s="145" t="s">
        <v>159</v>
      </c>
      <c r="B60" s="145"/>
      <c r="C60" s="145"/>
      <c r="D60" s="145"/>
      <c r="E60" s="145" t="s">
        <v>160</v>
      </c>
      <c r="F60" s="40"/>
      <c r="G60" s="145" t="s">
        <v>2</v>
      </c>
      <c r="H60" s="40"/>
      <c r="I60" s="40"/>
      <c r="J60" s="146" t="s">
        <v>161</v>
      </c>
      <c r="K60" s="146"/>
      <c r="L60" s="146"/>
      <c r="M60" s="146"/>
      <c r="N60" s="146"/>
      <c r="O60" s="40"/>
      <c r="P60" s="146" t="s">
        <v>162</v>
      </c>
      <c r="Q60" s="146"/>
      <c r="R60" s="146"/>
      <c r="S60" s="146"/>
      <c r="T60" s="146"/>
    </row>
    <row r="61">
      <c r="G61" s="147" t="s">
        <v>163</v>
      </c>
      <c r="J61" s="147" t="s">
        <v>164</v>
      </c>
      <c r="K61" s="147"/>
      <c r="L61" s="147"/>
      <c r="M61" s="147"/>
      <c r="N61" s="147"/>
      <c r="P61" s="147" t="s">
        <v>165</v>
      </c>
      <c r="Q61" s="147"/>
      <c r="R61" s="147"/>
      <c r="S61" s="147"/>
      <c r="T61" s="147"/>
    </row>
    <row r="62">
      <c r="G62" s="141" t="str">
        <f>Allgemeines!$D$2</f>
        <v xml:space="preserve">George Washington</v>
      </c>
      <c r="J62" s="141" t="str">
        <f>IF(D36="","",VLOOKUP(D36,Allgemeines!$B$7:$D$12,3,0))</f>
        <v/>
      </c>
      <c r="K62" s="141"/>
      <c r="L62" s="141"/>
      <c r="M62" s="141"/>
      <c r="N62" s="141"/>
      <c r="P62" s="141" t="str">
        <f>IF(D38="","",VLOOKUP(D38,Allgemeines!$B$7:$D$12,3,0))</f>
        <v/>
      </c>
      <c r="Q62" s="141"/>
      <c r="R62" s="141"/>
      <c r="S62" s="141"/>
      <c r="T62" s="141"/>
    </row>
    <row r="63" ht="21">
      <c r="A63" s="9" t="s">
        <v>120</v>
      </c>
      <c r="F63" s="10" t="str">
        <f>IF(V74&gt;V76,CONCATENATE("Achtung! Teamreihenfolge ",D67," nicht richtig! 1. und 2. Doppel tauschen."),IF(V76&gt;V78,CONCATENATE("Achtung! Teamreihenfolge ",D67," nicht richtig! 2. und 3. Doppel tauschen."),IF(AND(V80&gt;=V81,V81&gt;0),CONCATENATE("Achtung! Teamreihenfolge ",D67," nicht richtig! Beide Einzel tauschen."),IF(W74&gt;W76,CONCATENATE("Achtung! Teamreihenfolge ",D69," nicht richtig! 1. und 2. Doppel tauschen."),IF(W76&gt;W78,CONCATENATE("Achtung! Teamreihenfolge ",D69," nicht richtig! 2. und 3. Doppel tauschen."),IF(AND(W80&gt;=W81,W81&gt;0),CONCATENATE("Achtung! Teamreihenfolge ",D69," nicht richtig! Beide Einzel tauschen."),""))))))</f>
        <v/>
      </c>
      <c r="G63" s="10"/>
      <c r="H63" s="10"/>
      <c r="I63" s="10"/>
      <c r="J63" s="10"/>
      <c r="K63" s="10"/>
      <c r="L63" s="10"/>
      <c r="M63" s="10"/>
      <c r="N63" s="10"/>
    </row>
    <row r="64" s="11" customFormat="1" ht="26.25">
      <c r="A64" s="12" t="s">
        <v>121</v>
      </c>
      <c r="B64" s="12"/>
      <c r="C64" s="12"/>
      <c r="D64" s="12"/>
      <c r="E64" s="12"/>
      <c r="F64" s="10"/>
      <c r="G64" s="10"/>
      <c r="H64" s="10"/>
      <c r="I64" s="10"/>
      <c r="J64" s="10"/>
      <c r="K64" s="10"/>
      <c r="L64" s="10"/>
      <c r="M64" s="10"/>
      <c r="N64" s="10"/>
    </row>
    <row r="65" s="11" customFormat="1" ht="26.25">
      <c r="A65" s="13" t="s">
        <v>122</v>
      </c>
      <c r="B65" s="12"/>
      <c r="C65" s="12"/>
      <c r="D65" s="12"/>
      <c r="E65" s="12"/>
      <c r="F65" s="10"/>
      <c r="G65" s="10"/>
      <c r="H65" s="10"/>
      <c r="I65" s="10"/>
      <c r="J65" s="10"/>
      <c r="K65" s="10"/>
      <c r="L65" s="10"/>
      <c r="M65" s="10"/>
      <c r="N65" s="10"/>
    </row>
    <row r="66" s="14" customFormat="1" ht="15" customHeight="1">
      <c r="A66" s="15"/>
      <c r="M66" s="16"/>
      <c r="V66" s="14"/>
      <c r="W66" s="14"/>
      <c r="AD66" s="17"/>
    </row>
    <row r="67" s="11" customFormat="1" ht="21" customHeight="1">
      <c r="A67" s="18" t="s">
        <v>123</v>
      </c>
      <c r="B67" s="18"/>
      <c r="C67" s="18"/>
      <c r="D67" s="19"/>
      <c r="E67" s="19"/>
      <c r="F67" s="19"/>
      <c r="G67" s="19"/>
      <c r="H67" s="19"/>
      <c r="K67" s="20"/>
      <c r="L67" s="21" t="s">
        <v>124</v>
      </c>
      <c r="M67" s="22" t="str">
        <f>Gruppe</f>
        <v>II</v>
      </c>
      <c r="N67" s="20"/>
      <c r="O67" s="20"/>
      <c r="P67" s="20"/>
      <c r="Q67" s="20"/>
      <c r="R67" s="20"/>
      <c r="S67" s="20"/>
      <c r="T67" s="20"/>
      <c r="V67" s="11"/>
      <c r="W67" s="23"/>
      <c r="AD67" s="17"/>
    </row>
    <row r="68" s="14" customFormat="1" ht="21" customHeight="1">
      <c r="C68" s="24" t="s">
        <v>125</v>
      </c>
      <c r="L68" s="24" t="s">
        <v>126</v>
      </c>
      <c r="M68" s="16"/>
      <c r="N68" s="16"/>
      <c r="O68" s="16"/>
      <c r="P68" s="16"/>
      <c r="Q68" s="16"/>
      <c r="V68" s="23"/>
      <c r="W68" s="23"/>
      <c r="AD68" s="17"/>
    </row>
    <row r="69" s="11" customFormat="1" ht="21" customHeight="1">
      <c r="A69" s="18" t="s">
        <v>127</v>
      </c>
      <c r="B69" s="18"/>
      <c r="C69" s="18"/>
      <c r="D69" s="19"/>
      <c r="E69" s="19"/>
      <c r="F69" s="19"/>
      <c r="G69" s="19"/>
      <c r="H69" s="19"/>
      <c r="J69" s="18" t="s">
        <v>128</v>
      </c>
      <c r="K69" s="18"/>
      <c r="L69" s="18"/>
      <c r="M69" s="22" t="str">
        <f>Austragungsort</f>
        <v xml:space="preserve">Sporthalle Berlin</v>
      </c>
      <c r="N69" s="25"/>
      <c r="O69" s="25"/>
      <c r="P69" s="25"/>
      <c r="Q69" s="25"/>
      <c r="R69" s="20"/>
      <c r="S69" s="20"/>
      <c r="T69" s="20"/>
      <c r="V69" s="23"/>
      <c r="W69" s="23"/>
      <c r="Y69" s="26" t="s">
        <v>129</v>
      </c>
      <c r="Z69" s="27"/>
      <c r="AA69" s="28" t="s">
        <v>130</v>
      </c>
      <c r="AB69" s="27"/>
      <c r="AD69" s="29" t="s">
        <v>131</v>
      </c>
      <c r="AE69" s="17"/>
      <c r="AF69" s="17"/>
      <c r="AG69" s="17"/>
      <c r="AH69" s="17"/>
      <c r="AI69" s="17"/>
      <c r="AJ69" s="17"/>
      <c r="AK69" s="17"/>
      <c r="AL69" s="17"/>
      <c r="AM69" s="17"/>
    </row>
    <row r="70" s="11" customFormat="1" ht="21">
      <c r="A70" s="15"/>
      <c r="C70" s="24" t="s">
        <v>132</v>
      </c>
      <c r="L70" s="24" t="s">
        <v>133</v>
      </c>
      <c r="V70" s="23"/>
      <c r="W70" s="23"/>
      <c r="Y70" s="30">
        <v>1</v>
      </c>
      <c r="Z70" s="31" t="e">
        <f>VLOOKUP(CONCATENATE($D67," ",Y70),Setzlisten!$A:$E,5,0)</f>
        <v>#N/A</v>
      </c>
      <c r="AA70" s="30" t="e">
        <f>VLOOKUP(CONCATENATE($D69," ",Y70),Setzlisten!$A:$E,5,0)</f>
        <v>#N/A</v>
      </c>
      <c r="AB70" s="31">
        <v>1</v>
      </c>
      <c r="AD70" s="32" t="str">
        <f>CONCATENATE(A74,": ",D74," mit ",D75," - ",G74," mit ",G75,", ",I74,":",J74,", ",K74,":",L74,IF(M74="","",CONCATENATE(", ",M74,":",N74)),CHAR(10),A76,": ",D76," mit ",D77," - ",G76," mit ",G77,", ",I76,":",J76,", ",K76,":",L76,IF(M76="","",CONCATENATE(", ",M76,":",N76)),CHAR(10),A78,": ",D78," mit ",D79," - ",G78," mit ",G79,", ",I78,":",J78,", ",K78,":",L78,IF(M78="","",CONCATENATE(", ",M78,":",N78)),CHAR(10),A80,": ",D80," - ",G80,", ",I80,":",J80,", ",K80,":",L80,IF(M80="","",CONCATENATE(", ",M80,":",N80)),CHAR(10),A81,": ",D81," - ",G81,", ",I81,":",J81,", ",K81,":",L81,IF(M81="","",CONCATENATE(", ",M81,":",N81)))</f>
        <v xml:space="preserve">1. Doppel
1st Doubles:  mit  -  mit , :, :
2. Doppel
2nd Doubles:  mit  -  mit , :, :
3. Doppel
3rd Doubles:  mit  -  mit , :, :
1. Einzel
1st Singles:  - , :, :
2. Einzel
2nd Singles:  - , :, :</v>
      </c>
      <c r="AE70" s="17"/>
      <c r="AF70" s="17"/>
      <c r="AG70" s="17"/>
      <c r="AH70" s="17"/>
      <c r="AI70" s="17"/>
      <c r="AJ70" s="17"/>
      <c r="AK70" s="17"/>
      <c r="AL70" s="17"/>
      <c r="AM70" s="17"/>
    </row>
    <row r="71" s="11" customFormat="1" ht="26.25" customHeight="1">
      <c r="A71" s="33" t="s">
        <v>134</v>
      </c>
      <c r="B71" s="34"/>
      <c r="C71" s="35" t="s">
        <v>135</v>
      </c>
      <c r="D71" s="36" t="s">
        <v>136</v>
      </c>
      <c r="E71" s="37"/>
      <c r="F71" s="38" t="s">
        <v>135</v>
      </c>
      <c r="G71" s="39" t="s">
        <v>137</v>
      </c>
      <c r="H71" s="40"/>
      <c r="I71" s="41" t="s">
        <v>138</v>
      </c>
      <c r="J71" s="42"/>
      <c r="K71" s="41" t="s">
        <v>139</v>
      </c>
      <c r="L71" s="42"/>
      <c r="M71" s="43" t="s">
        <v>140</v>
      </c>
      <c r="N71" s="44"/>
      <c r="O71" s="45" t="s">
        <v>141</v>
      </c>
      <c r="P71" s="46"/>
      <c r="Q71" s="47" t="s">
        <v>142</v>
      </c>
      <c r="R71" s="48"/>
      <c r="S71" s="49" t="s">
        <v>143</v>
      </c>
      <c r="T71" s="50"/>
      <c r="V71" s="51" t="s">
        <v>144</v>
      </c>
      <c r="W71" s="52" t="s">
        <v>145</v>
      </c>
      <c r="Y71" s="30">
        <v>2</v>
      </c>
      <c r="Z71" s="31" t="e">
        <f>VLOOKUP(CONCATENATE($D67," ",Y71),Setzlisten!$A:$E,5,0)</f>
        <v>#N/A</v>
      </c>
      <c r="AA71" s="30" t="e">
        <f>VLOOKUP(CONCATENATE($D69," ",Y71),Setzlisten!$A:$E,5,0)</f>
        <v>#N/A</v>
      </c>
      <c r="AB71" s="31">
        <v>2</v>
      </c>
      <c r="AD71" s="32"/>
      <c r="AE71" s="17"/>
      <c r="AF71" s="17"/>
      <c r="AG71" s="17"/>
      <c r="AH71" s="17"/>
      <c r="AI71" s="17"/>
      <c r="AJ71" s="17"/>
      <c r="AK71" s="17"/>
      <c r="AL71" s="17"/>
      <c r="AM71" s="17"/>
    </row>
    <row r="72" s="11" customFormat="1" ht="29.25" customHeight="1">
      <c r="A72" s="53">
        <f>A41</f>
        <v>0.64583333333333337</v>
      </c>
      <c r="B72" s="34"/>
      <c r="C72" s="54"/>
      <c r="D72" s="55"/>
      <c r="E72" s="56"/>
      <c r="F72" s="57"/>
      <c r="G72" s="58"/>
      <c r="H72" s="40"/>
      <c r="I72" s="59"/>
      <c r="J72" s="60"/>
      <c r="K72" s="59"/>
      <c r="L72" s="60"/>
      <c r="M72" s="61"/>
      <c r="N72" s="62"/>
      <c r="O72" s="63" t="s">
        <v>146</v>
      </c>
      <c r="P72" s="64" t="s">
        <v>147</v>
      </c>
      <c r="Q72" s="65" t="s">
        <v>146</v>
      </c>
      <c r="R72" s="66" t="s">
        <v>147</v>
      </c>
      <c r="S72" s="64" t="s">
        <v>146</v>
      </c>
      <c r="T72" s="67" t="s">
        <v>147</v>
      </c>
      <c r="V72" s="68"/>
      <c r="W72" s="69"/>
      <c r="Y72" s="30">
        <v>3</v>
      </c>
      <c r="Z72" s="31" t="e">
        <f>VLOOKUP(CONCATENATE($D67," ",Y72),Setzlisten!$A:$E,5,0)</f>
        <v>#N/A</v>
      </c>
      <c r="AA72" s="30" t="e">
        <f>VLOOKUP(CONCATENATE($D69," ",Y72),Setzlisten!$A:$E,5,0)</f>
        <v>#N/A</v>
      </c>
      <c r="AB72" s="31">
        <v>3</v>
      </c>
      <c r="AD72" s="32"/>
      <c r="AE72" s="17"/>
      <c r="AF72" s="17"/>
      <c r="AG72" s="17"/>
      <c r="AH72" s="17"/>
      <c r="AI72" s="17"/>
      <c r="AJ72" s="17"/>
      <c r="AK72" s="17"/>
      <c r="AL72" s="17"/>
      <c r="AM72" s="17"/>
    </row>
    <row r="73" s="70" customFormat="1" ht="9">
      <c r="V73" s="30"/>
      <c r="W73" s="31"/>
      <c r="Y73" s="30">
        <v>4</v>
      </c>
      <c r="Z73" s="31" t="e">
        <f>VLOOKUP(CONCATENATE($D67," ",Y73),Setzlisten!$A:$E,5,0)</f>
        <v>#N/A</v>
      </c>
      <c r="AA73" s="30" t="e">
        <f>VLOOKUP(CONCATENATE($D69," ",Y73),Setzlisten!$A:$E,5,0)</f>
        <v>#N/A</v>
      </c>
      <c r="AB73" s="31">
        <v>4</v>
      </c>
      <c r="AD73" s="32"/>
    </row>
    <row r="74" s="11" customFormat="1" ht="24" customHeight="1">
      <c r="A74" s="71" t="s">
        <v>148</v>
      </c>
      <c r="C74" s="72">
        <f>IF(D74="",0,VLOOKUP(D74,$Z70:$AB84,3,0))</f>
        <v>0</v>
      </c>
      <c r="D74" s="73"/>
      <c r="E74" s="74"/>
      <c r="F74" s="75">
        <f>IF(G74="",0,VLOOKUP(G74,$AA70:$AB84,2,0))</f>
        <v>0</v>
      </c>
      <c r="G74" s="76"/>
      <c r="H74" s="148"/>
      <c r="I74" s="77"/>
      <c r="J74" s="78"/>
      <c r="K74" s="77"/>
      <c r="L74" s="78"/>
      <c r="M74" s="77"/>
      <c r="N74" s="79"/>
      <c r="O74" s="80" t="str">
        <f>IF(I74="","",SUM(I74,K74,M74))</f>
        <v/>
      </c>
      <c r="P74" s="81" t="str">
        <f>IF(J74="","",SUM(J74,L74,N74))</f>
        <v/>
      </c>
      <c r="Q74" s="82" t="str">
        <f>IF(I74="","",IF(I74&gt;J74,1,0)+IF(K74&gt;L74,1,0)+IF(M74="",0,IF(M74&gt;N74,1,0)))</f>
        <v/>
      </c>
      <c r="R74" s="83" t="str">
        <f>IF(I74="","",IF(J74&gt;I74,1,0)+IF(L74&gt;K74,1,0)+IF(M74="",0,IF(N74&gt;M74,1,0)))</f>
        <v/>
      </c>
      <c r="S74" s="84" t="str">
        <f>IF(I74="","",IF(Q74&gt;R74,1,0))</f>
        <v/>
      </c>
      <c r="T74" s="85" t="str">
        <f>IF(I74="","",IF(R74&gt;Q74,1,0))</f>
        <v/>
      </c>
      <c r="V74" s="86">
        <f>C74+C75</f>
        <v>0</v>
      </c>
      <c r="W74" s="87">
        <f>F74+F75</f>
        <v>0</v>
      </c>
      <c r="Y74" s="30">
        <v>5</v>
      </c>
      <c r="Z74" s="31" t="e">
        <f>VLOOKUP(CONCATENATE($D67," ",Y74),Setzlisten!$A:$E,5,0)</f>
        <v>#N/A</v>
      </c>
      <c r="AA74" s="30" t="e">
        <f>VLOOKUP(CONCATENATE($D69," ",Y74),Setzlisten!$A:$E,5,0)</f>
        <v>#N/A</v>
      </c>
      <c r="AB74" s="31">
        <v>5</v>
      </c>
      <c r="AD74" s="32"/>
    </row>
    <row r="75" s="11" customFormat="1" ht="24" customHeight="1">
      <c r="A75" s="88"/>
      <c r="C75" s="89">
        <f>IF(D75="",0,VLOOKUP(D75,$Z70:$AB84,3,0))</f>
        <v>0</v>
      </c>
      <c r="D75" s="90"/>
      <c r="E75" s="91"/>
      <c r="F75" s="92">
        <f>IF(G75="",0,VLOOKUP(G75,$AA70:$AB84,2,0))</f>
        <v>0</v>
      </c>
      <c r="G75" s="93"/>
      <c r="H75" s="148"/>
      <c r="I75" s="77"/>
      <c r="J75" s="78"/>
      <c r="K75" s="77"/>
      <c r="L75" s="78"/>
      <c r="M75" s="77"/>
      <c r="N75" s="79"/>
      <c r="O75" s="92"/>
      <c r="P75" s="94"/>
      <c r="Q75" s="89"/>
      <c r="R75" s="95"/>
      <c r="S75" s="96"/>
      <c r="T75" s="97"/>
      <c r="V75" s="98"/>
      <c r="W75" s="99"/>
      <c r="Y75" s="30">
        <v>6</v>
      </c>
      <c r="Z75" s="31" t="e">
        <f>VLOOKUP(CONCATENATE($D67," ",Y75),Setzlisten!$A:$E,5,0)</f>
        <v>#N/A</v>
      </c>
      <c r="AA75" s="30" t="e">
        <f>VLOOKUP(CONCATENATE($D69," ",Y75),Setzlisten!$A:$E,5,0)</f>
        <v>#N/A</v>
      </c>
      <c r="AB75" s="31">
        <v>6</v>
      </c>
      <c r="AD75" s="32"/>
    </row>
    <row r="76" s="11" customFormat="1" ht="24" customHeight="1">
      <c r="A76" s="71" t="s">
        <v>149</v>
      </c>
      <c r="C76" s="72">
        <f>IF(D76="",0,VLOOKUP(D76,$Z70:$AB84,3,0))</f>
        <v>0</v>
      </c>
      <c r="D76" s="73"/>
      <c r="E76" s="74"/>
      <c r="F76" s="75">
        <f>IF(G76="",0,VLOOKUP(G76,$AA70:$AB84,2,0))</f>
        <v>0</v>
      </c>
      <c r="G76" s="76"/>
      <c r="H76" s="148"/>
      <c r="I76" s="77"/>
      <c r="J76" s="100"/>
      <c r="K76" s="77"/>
      <c r="L76" s="78"/>
      <c r="M76" s="77"/>
      <c r="N76" s="79"/>
      <c r="O76" s="80" t="str">
        <f>IF(I76="","",SUM(I76,K76,M76))</f>
        <v/>
      </c>
      <c r="P76" s="81" t="str">
        <f t="shared" ref="P76:P81" si="137">IF(J76="","",SUM(J76,L76,N76))</f>
        <v/>
      </c>
      <c r="Q76" s="82" t="str">
        <f t="shared" ref="Q76:Q81" si="138">IF(I76="","",IF(I76&gt;J76,1,0)+IF(K76&gt;L76,1,0)+IF(M76="",0,IF(M76&gt;N76,1,0)))</f>
        <v/>
      </c>
      <c r="R76" s="83" t="str">
        <f t="shared" ref="R76:R81" si="139">IF(I76="","",IF(J76&gt;I76,1,0)+IF(L76&gt;K76,1,0)+IF(M76="",0,IF(N76&gt;M76,1,0)))</f>
        <v/>
      </c>
      <c r="S76" s="84" t="str">
        <f t="shared" ref="S76:S81" si="140">IF(I76="","",IF(Q76&gt;R76,1,0))</f>
        <v/>
      </c>
      <c r="T76" s="85" t="str">
        <f t="shared" ref="T76:T81" si="141">IF(I76="","",IF(R76&gt;Q76,1,0))</f>
        <v/>
      </c>
      <c r="V76" s="98">
        <f>C76+C77</f>
        <v>0</v>
      </c>
      <c r="W76" s="99">
        <f>F76+F77</f>
        <v>0</v>
      </c>
      <c r="Y76" s="30">
        <v>7</v>
      </c>
      <c r="Z76" s="31" t="e">
        <f>VLOOKUP(CONCATENATE($D67," ",Y76),Setzlisten!$A:$E,5,0)</f>
        <v>#N/A</v>
      </c>
      <c r="AA76" s="30" t="e">
        <f>VLOOKUP(CONCATENATE($D69," ",Y76),Setzlisten!$A:$E,5,0)</f>
        <v>#N/A</v>
      </c>
      <c r="AB76" s="31">
        <v>7</v>
      </c>
      <c r="AD76" s="101" t="s">
        <v>150</v>
      </c>
    </row>
    <row r="77" s="11" customFormat="1" ht="24" customHeight="1">
      <c r="A77" s="88"/>
      <c r="C77" s="89">
        <f>IF(D77="",0,VLOOKUP(D77,$Z70:$AB84,3,0))</f>
        <v>0</v>
      </c>
      <c r="D77" s="90"/>
      <c r="E77" s="91"/>
      <c r="F77" s="92">
        <f>IF(G77="",0,VLOOKUP(G77,$AA70:$AB84,2,0))</f>
        <v>0</v>
      </c>
      <c r="G77" s="93"/>
      <c r="H77" s="148"/>
      <c r="I77" s="77"/>
      <c r="J77" s="78"/>
      <c r="K77" s="77"/>
      <c r="L77" s="78"/>
      <c r="M77" s="77"/>
      <c r="N77" s="79"/>
      <c r="O77" s="92"/>
      <c r="P77" s="94"/>
      <c r="Q77" s="89"/>
      <c r="R77" s="95"/>
      <c r="S77" s="96"/>
      <c r="T77" s="97"/>
      <c r="V77" s="98"/>
      <c r="W77" s="99"/>
      <c r="Y77" s="30">
        <v>8</v>
      </c>
      <c r="Z77" s="31" t="e">
        <f>VLOOKUP(CONCATENATE($D67," ",Y77),Setzlisten!$A:$E,5,0)</f>
        <v>#N/A</v>
      </c>
      <c r="AA77" s="30" t="e">
        <f>VLOOKUP(CONCATENATE($D69," ",Y77),Setzlisten!$A:$E,5,0)</f>
        <v>#N/A</v>
      </c>
      <c r="AB77" s="31">
        <v>8</v>
      </c>
      <c r="AD77" s="101"/>
    </row>
    <row r="78" s="11" customFormat="1" ht="24" customHeight="1">
      <c r="A78" s="71" t="s">
        <v>151</v>
      </c>
      <c r="C78" s="72">
        <f>IF(D78="",0,VLOOKUP(D78,$Z70:$AB84,3,0))</f>
        <v>0</v>
      </c>
      <c r="D78" s="73"/>
      <c r="E78" s="74"/>
      <c r="F78" s="75">
        <f>IF(G78="",0,VLOOKUP(G78,$AA70:$AB84,2,0))</f>
        <v>0</v>
      </c>
      <c r="G78" s="76"/>
      <c r="H78" s="148"/>
      <c r="I78" s="77"/>
      <c r="J78" s="78"/>
      <c r="K78" s="77"/>
      <c r="L78" s="78"/>
      <c r="M78" s="77"/>
      <c r="N78" s="79"/>
      <c r="O78" s="80" t="str">
        <f>IF(I78="","",SUM(I78,K78,M78))</f>
        <v/>
      </c>
      <c r="P78" s="81" t="str">
        <f t="shared" si="137"/>
        <v/>
      </c>
      <c r="Q78" s="82" t="str">
        <f t="shared" si="138"/>
        <v/>
      </c>
      <c r="R78" s="83" t="str">
        <f t="shared" si="139"/>
        <v/>
      </c>
      <c r="S78" s="84" t="str">
        <f t="shared" si="140"/>
        <v/>
      </c>
      <c r="T78" s="85" t="str">
        <f t="shared" si="141"/>
        <v/>
      </c>
      <c r="V78" s="98">
        <f>C78+C79</f>
        <v>0</v>
      </c>
      <c r="W78" s="99">
        <f>F78+F79</f>
        <v>0</v>
      </c>
      <c r="Y78" s="30">
        <v>9</v>
      </c>
      <c r="Z78" s="31" t="e">
        <f>VLOOKUP(CONCATENATE($D67," ",Y78),Setzlisten!$A:$E,5,0)</f>
        <v>#N/A</v>
      </c>
      <c r="AA78" s="30" t="e">
        <f>VLOOKUP(CONCATENATE($D69," ",Y78),Setzlisten!$A:$E,5,0)</f>
        <v>#N/A</v>
      </c>
      <c r="AB78" s="31">
        <v>9</v>
      </c>
      <c r="AD78" s="32"/>
    </row>
    <row r="79" s="11" customFormat="1" ht="24" customHeight="1">
      <c r="A79" s="88"/>
      <c r="C79" s="89">
        <f>IF(D79="",0,VLOOKUP(D79,$Z70:$AB84,3,0))</f>
        <v>0</v>
      </c>
      <c r="D79" s="90"/>
      <c r="E79" s="91"/>
      <c r="F79" s="92">
        <f>IF(G79="",0,VLOOKUP(G79,$AA70:$AB84,2,0))</f>
        <v>0</v>
      </c>
      <c r="G79" s="93"/>
      <c r="H79" s="148"/>
      <c r="I79" s="77"/>
      <c r="J79" s="78"/>
      <c r="K79" s="77"/>
      <c r="L79" s="78"/>
      <c r="M79" s="77"/>
      <c r="N79" s="79"/>
      <c r="O79" s="92"/>
      <c r="P79" s="94"/>
      <c r="Q79" s="89"/>
      <c r="R79" s="95"/>
      <c r="S79" s="96"/>
      <c r="T79" s="97"/>
      <c r="V79" s="102"/>
      <c r="W79" s="103"/>
      <c r="Y79" s="30">
        <v>10</v>
      </c>
      <c r="Z79" s="31" t="e">
        <f>VLOOKUP(CONCATENATE($D67," ",Y79),Setzlisten!$A:$E,5,0)</f>
        <v>#N/A</v>
      </c>
      <c r="AA79" s="30" t="e">
        <f>VLOOKUP(CONCATENATE($D69," ",Y79),Setzlisten!$A:$E,5,0)</f>
        <v>#N/A</v>
      </c>
      <c r="AB79" s="31">
        <v>10</v>
      </c>
      <c r="AD79" s="32"/>
    </row>
    <row r="80" s="11" customFormat="1" ht="30" customHeight="1">
      <c r="A80" s="71" t="s">
        <v>152</v>
      </c>
      <c r="B80" s="104"/>
      <c r="C80" s="105">
        <f>IF(D80="",0,VLOOKUP(D80,$Z70:$AB84,3,0))</f>
        <v>0</v>
      </c>
      <c r="D80" s="106"/>
      <c r="E80" s="107"/>
      <c r="F80" s="108">
        <f>IF(G80="",0,VLOOKUP(G80,$AA70:$AB84,2,0))</f>
        <v>0</v>
      </c>
      <c r="G80" s="109"/>
      <c r="H80" s="148"/>
      <c r="I80" s="77"/>
      <c r="J80" s="78"/>
      <c r="K80" s="77"/>
      <c r="L80" s="78"/>
      <c r="M80" s="77"/>
      <c r="N80" s="79"/>
      <c r="O80" s="149" t="str">
        <f t="shared" ref="O80:O81" si="142">IF(I80="","",SUM(I80,K80,M80))</f>
        <v/>
      </c>
      <c r="P80" s="150" t="str">
        <f t="shared" si="137"/>
        <v/>
      </c>
      <c r="Q80" s="151" t="str">
        <f t="shared" si="138"/>
        <v/>
      </c>
      <c r="R80" s="152" t="str">
        <f t="shared" si="139"/>
        <v/>
      </c>
      <c r="S80" s="153" t="str">
        <f t="shared" si="140"/>
        <v/>
      </c>
      <c r="T80" s="154" t="str">
        <f t="shared" si="141"/>
        <v/>
      </c>
      <c r="V80" s="98">
        <f t="shared" ref="V80:V81" si="143">C80</f>
        <v>0</v>
      </c>
      <c r="W80" s="99">
        <f t="shared" ref="W80:W81" si="144">F80</f>
        <v>0</v>
      </c>
      <c r="Y80" s="30">
        <v>11</v>
      </c>
      <c r="Z80" s="31" t="e">
        <f>VLOOKUP(CONCATENATE($D67," ",Y80),Setzlisten!$A:$E,5,0)</f>
        <v>#N/A</v>
      </c>
      <c r="AA80" s="30" t="e">
        <f>VLOOKUP(CONCATENATE($D69," ",Y80),Setzlisten!$A:$E,5,0)</f>
        <v>#N/A</v>
      </c>
      <c r="AB80" s="31">
        <v>11</v>
      </c>
      <c r="AD80" s="32"/>
    </row>
    <row r="81" s="11" customFormat="1" ht="30" customHeight="1">
      <c r="A81" s="71" t="s">
        <v>153</v>
      </c>
      <c r="B81" s="104"/>
      <c r="C81" s="105">
        <f>IF(D81="",0,VLOOKUP(D81,$Z70:$AB84,3,0))</f>
        <v>0</v>
      </c>
      <c r="D81" s="106"/>
      <c r="E81" s="107"/>
      <c r="F81" s="108">
        <f>IF(G81="",0,VLOOKUP(G81,$AA70:$AB84,2,0))</f>
        <v>0</v>
      </c>
      <c r="G81" s="109"/>
      <c r="H81" s="148"/>
      <c r="I81" s="77"/>
      <c r="J81" s="78"/>
      <c r="K81" s="77"/>
      <c r="L81" s="78"/>
      <c r="M81" s="77"/>
      <c r="N81" s="79"/>
      <c r="O81" s="149" t="str">
        <f t="shared" si="142"/>
        <v/>
      </c>
      <c r="P81" s="150" t="str">
        <f t="shared" si="137"/>
        <v/>
      </c>
      <c r="Q81" s="151" t="str">
        <f t="shared" si="138"/>
        <v/>
      </c>
      <c r="R81" s="152" t="str">
        <f t="shared" si="139"/>
        <v/>
      </c>
      <c r="S81" s="153" t="str">
        <f t="shared" si="140"/>
        <v/>
      </c>
      <c r="T81" s="154" t="str">
        <f t="shared" si="141"/>
        <v/>
      </c>
      <c r="V81" s="102">
        <f t="shared" si="143"/>
        <v>0</v>
      </c>
      <c r="W81" s="103">
        <f t="shared" si="144"/>
        <v>0</v>
      </c>
      <c r="Y81" s="30">
        <v>12</v>
      </c>
      <c r="Z81" s="31" t="e">
        <f>VLOOKUP(CONCATENATE($D67," ",Y81),Setzlisten!$A:$E,5,0)</f>
        <v>#N/A</v>
      </c>
      <c r="AA81" s="30" t="e">
        <f>VLOOKUP(CONCATENATE($D69," ",Y81),Setzlisten!$A:$E,5,0)</f>
        <v>#N/A</v>
      </c>
      <c r="AB81" s="31">
        <v>12</v>
      </c>
      <c r="AD81" s="32"/>
    </row>
    <row r="82" s="70" customFormat="1" ht="9">
      <c r="Y82" s="30">
        <v>13</v>
      </c>
      <c r="Z82" s="31" t="e">
        <f>VLOOKUP(CONCATENATE($D67," ",Y82),Setzlisten!$A:$E,5,0)</f>
        <v>#N/A</v>
      </c>
      <c r="AA82" s="30" t="e">
        <f>VLOOKUP(CONCATENATE($D69," ",Y82),Setzlisten!$A:$E,5,0)</f>
        <v>#N/A</v>
      </c>
      <c r="AB82" s="31">
        <v>13</v>
      </c>
      <c r="AD82" s="32"/>
    </row>
    <row r="83" s="11" customFormat="1" ht="15.75">
      <c r="A83" s="114" t="s">
        <v>154</v>
      </c>
      <c r="B83" s="34"/>
      <c r="C83" s="115" t="s">
        <v>155</v>
      </c>
      <c r="D83" s="116"/>
      <c r="E83" s="117" t="str">
        <f>IF(S83="","",IF(S83&gt;T83,D67,D69))</f>
        <v/>
      </c>
      <c r="F83" s="118"/>
      <c r="G83" s="119"/>
      <c r="I83" s="115" t="s">
        <v>156</v>
      </c>
      <c r="J83" s="120"/>
      <c r="K83" s="120"/>
      <c r="L83" s="120"/>
      <c r="M83" s="120"/>
      <c r="N83" s="116"/>
      <c r="O83" s="82" t="str">
        <f t="shared" ref="O83:T83" si="145">IF(O74="","",SUM(O74:O81))</f>
        <v/>
      </c>
      <c r="P83" s="121" t="str">
        <f t="shared" si="145"/>
        <v/>
      </c>
      <c r="Q83" s="82" t="str">
        <f t="shared" si="145"/>
        <v/>
      </c>
      <c r="R83" s="121" t="str">
        <f t="shared" si="145"/>
        <v/>
      </c>
      <c r="S83" s="82" t="str">
        <f t="shared" si="145"/>
        <v/>
      </c>
      <c r="T83" s="122" t="str">
        <f t="shared" si="145"/>
        <v/>
      </c>
      <c r="Y83" s="30">
        <v>14</v>
      </c>
      <c r="Z83" s="31" t="e">
        <f>VLOOKUP(CONCATENATE($D67," ",Y83),Setzlisten!$A:$E,5,0)</f>
        <v>#N/A</v>
      </c>
      <c r="AA83" s="30" t="e">
        <f>VLOOKUP(CONCATENATE($D69," ",Y83),Setzlisten!$A:$E,5,0)</f>
        <v>#N/A</v>
      </c>
      <c r="AB83" s="31">
        <v>14</v>
      </c>
      <c r="AD83" s="32"/>
    </row>
    <row r="84" s="11" customFormat="1" ht="23.25">
      <c r="A84" s="53">
        <f>A53</f>
        <v>0.70833333333333337</v>
      </c>
      <c r="B84" s="34"/>
      <c r="C84" s="123"/>
      <c r="D84" s="124"/>
      <c r="E84" s="125"/>
      <c r="F84" s="126"/>
      <c r="G84" s="127"/>
      <c r="I84" s="123"/>
      <c r="J84" s="128"/>
      <c r="K84" s="128"/>
      <c r="L84" s="128"/>
      <c r="M84" s="128"/>
      <c r="N84" s="124"/>
      <c r="O84" s="129"/>
      <c r="P84" s="130"/>
      <c r="Q84" s="129"/>
      <c r="R84" s="130"/>
      <c r="S84" s="129"/>
      <c r="T84" s="131"/>
      <c r="Y84" s="132">
        <v>15</v>
      </c>
      <c r="Z84" s="133" t="e">
        <f>VLOOKUP(CONCATENATE($D67," ",Y84),Setzlisten!$A:$E,5,0)</f>
        <v>#N/A</v>
      </c>
      <c r="AA84" s="132" t="e">
        <f>VLOOKUP(CONCATENATE($D69," ",Y84),Setzlisten!$A:$E,5,0)</f>
        <v>#N/A</v>
      </c>
      <c r="AB84" s="133">
        <v>15</v>
      </c>
    </row>
    <row r="85" s="11" customFormat="1" ht="15" customHeight="1">
      <c r="A85" s="15"/>
    </row>
    <row r="86" s="11" customFormat="1" ht="30" customHeight="1">
      <c r="B86" s="21"/>
      <c r="C86" s="21"/>
      <c r="D86" s="134" t="s">
        <v>157</v>
      </c>
      <c r="E86" s="134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</row>
    <row r="87" s="11" customFormat="1">
      <c r="A87" s="14"/>
      <c r="P87" s="136"/>
      <c r="Q87" s="136"/>
      <c r="R87" s="136"/>
      <c r="S87" s="136"/>
      <c r="T87" s="136"/>
    </row>
    <row r="88" s="11" customFormat="1" ht="30" customHeight="1">
      <c r="A88" s="137" t="s">
        <v>158</v>
      </c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</row>
    <row r="89" s="11" customFormat="1" ht="36" customHeight="1">
      <c r="A89" s="139" t="str">
        <f>Allgemeines!$B$3</f>
        <v>Hamburg</v>
      </c>
      <c r="B89" s="139"/>
      <c r="C89" s="139"/>
      <c r="D89" s="139"/>
      <c r="E89" s="140">
        <f>Allgemeines!$B$4</f>
        <v>46023</v>
      </c>
      <c r="G89" s="141"/>
      <c r="J89" s="141"/>
      <c r="K89" s="141"/>
      <c r="L89" s="141"/>
      <c r="M89" s="141"/>
      <c r="N89" s="141"/>
      <c r="P89" s="141"/>
      <c r="Q89" s="141"/>
      <c r="R89" s="141"/>
      <c r="S89" s="141"/>
      <c r="T89" s="141"/>
    </row>
    <row r="90" s="11" customFormat="1">
      <c r="A90" s="142"/>
      <c r="B90" s="142"/>
      <c r="C90" s="142"/>
      <c r="D90" s="142"/>
      <c r="E90" s="143"/>
      <c r="G90" s="144"/>
      <c r="J90" s="144"/>
      <c r="K90" s="144"/>
      <c r="L90" s="144"/>
      <c r="M90" s="144"/>
      <c r="N90" s="144"/>
      <c r="P90" s="144"/>
      <c r="Q90" s="144"/>
      <c r="R90" s="144"/>
      <c r="S90" s="144"/>
      <c r="T90" s="144"/>
    </row>
    <row r="91" s="11" customFormat="1" ht="15.75">
      <c r="A91" s="145" t="s">
        <v>159</v>
      </c>
      <c r="B91" s="145"/>
      <c r="C91" s="145"/>
      <c r="D91" s="145"/>
      <c r="E91" s="145" t="s">
        <v>160</v>
      </c>
      <c r="F91" s="40"/>
      <c r="G91" s="145" t="s">
        <v>2</v>
      </c>
      <c r="H91" s="40"/>
      <c r="I91" s="40"/>
      <c r="J91" s="146" t="s">
        <v>161</v>
      </c>
      <c r="K91" s="146"/>
      <c r="L91" s="146"/>
      <c r="M91" s="146"/>
      <c r="N91" s="146"/>
      <c r="O91" s="40"/>
      <c r="P91" s="146" t="s">
        <v>162</v>
      </c>
      <c r="Q91" s="146"/>
      <c r="R91" s="146"/>
      <c r="S91" s="146"/>
      <c r="T91" s="146"/>
    </row>
    <row r="92">
      <c r="G92" s="147" t="s">
        <v>163</v>
      </c>
      <c r="J92" s="147" t="s">
        <v>164</v>
      </c>
      <c r="K92" s="147"/>
      <c r="L92" s="147"/>
      <c r="M92" s="147"/>
      <c r="N92" s="147"/>
      <c r="P92" s="147" t="s">
        <v>165</v>
      </c>
      <c r="Q92" s="147"/>
      <c r="R92" s="147"/>
      <c r="S92" s="147"/>
      <c r="T92" s="147"/>
    </row>
    <row r="93">
      <c r="G93" s="141" t="str">
        <f>Allgemeines!$D$2</f>
        <v xml:space="preserve">George Washington</v>
      </c>
      <c r="J93" s="141" t="str">
        <f>IF(D67="","",VLOOKUP(D67,Allgemeines!$B$7:$D$12,3,0))</f>
        <v/>
      </c>
      <c r="K93" s="141"/>
      <c r="L93" s="141"/>
      <c r="M93" s="141"/>
      <c r="N93" s="141"/>
      <c r="P93" s="141" t="str">
        <f>IF(D69="","",VLOOKUP(D69,Allgemeines!$B$7:$D$12,3,0))</f>
        <v/>
      </c>
      <c r="Q93" s="141"/>
      <c r="R93" s="141"/>
      <c r="S93" s="141"/>
      <c r="T93" s="141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97">
    <mergeCell ref="F1:N3"/>
    <mergeCell ref="A5:C5"/>
    <mergeCell ref="D5:H5"/>
    <mergeCell ref="A7:C7"/>
    <mergeCell ref="D7:H7"/>
    <mergeCell ref="J7:L7"/>
    <mergeCell ref="AD8:AD13"/>
    <mergeCell ref="C9:C10"/>
    <mergeCell ref="D9:E10"/>
    <mergeCell ref="F9:F10"/>
    <mergeCell ref="G9:G10"/>
    <mergeCell ref="I9:J10"/>
    <mergeCell ref="K9:L10"/>
    <mergeCell ref="M9:N10"/>
    <mergeCell ref="O9:P9"/>
    <mergeCell ref="Q9:R9"/>
    <mergeCell ref="S9:T9"/>
    <mergeCell ref="V9:V10"/>
    <mergeCell ref="W9:W10"/>
    <mergeCell ref="A12:A13"/>
    <mergeCell ref="D12:E12"/>
    <mergeCell ref="I12:I13"/>
    <mergeCell ref="J12:J13"/>
    <mergeCell ref="K12:K13"/>
    <mergeCell ref="L12:L13"/>
    <mergeCell ref="M12:M13"/>
    <mergeCell ref="T12:T13"/>
    <mergeCell ref="V12:V13"/>
    <mergeCell ref="W12:W13"/>
    <mergeCell ref="D13:E13"/>
    <mergeCell ref="A14:A15"/>
    <mergeCell ref="D14:E14"/>
    <mergeCell ref="I14:I15"/>
    <mergeCell ref="J14:J15"/>
    <mergeCell ref="K14:K15"/>
    <mergeCell ref="L14:L15"/>
    <mergeCell ref="N12:N13"/>
    <mergeCell ref="O12:O13"/>
    <mergeCell ref="P12:P13"/>
    <mergeCell ref="Q12:Q13"/>
    <mergeCell ref="R12:R13"/>
    <mergeCell ref="S12:S13"/>
    <mergeCell ref="W14:W15"/>
    <mergeCell ref="AD14:AD15"/>
    <mergeCell ref="D15:E15"/>
    <mergeCell ref="M14:M15"/>
    <mergeCell ref="N14:N15"/>
    <mergeCell ref="O14:O15"/>
    <mergeCell ref="P14:P15"/>
    <mergeCell ref="Q14:Q15"/>
    <mergeCell ref="R14:R15"/>
    <mergeCell ref="A16:A17"/>
    <mergeCell ref="D16:E16"/>
    <mergeCell ref="I16:I17"/>
    <mergeCell ref="J16:J17"/>
    <mergeCell ref="K16:K17"/>
    <mergeCell ref="L16:L17"/>
    <mergeCell ref="S14:S15"/>
    <mergeCell ref="T14:T15"/>
    <mergeCell ref="V14:V15"/>
    <mergeCell ref="S16:S17"/>
    <mergeCell ref="T16:T17"/>
    <mergeCell ref="V16:V17"/>
    <mergeCell ref="W16:W17"/>
    <mergeCell ref="AD16:AD21"/>
    <mergeCell ref="D17:E17"/>
    <mergeCell ref="D18:E18"/>
    <mergeCell ref="D19:E19"/>
    <mergeCell ref="C21:D22"/>
    <mergeCell ref="E21:G22"/>
    <mergeCell ref="M16:M17"/>
    <mergeCell ref="N16:N17"/>
    <mergeCell ref="O16:O17"/>
    <mergeCell ref="P16:P17"/>
    <mergeCell ref="Q16:Q17"/>
    <mergeCell ref="R16:R17"/>
    <mergeCell ref="T21:T22"/>
    <mergeCell ref="D24:E24"/>
    <mergeCell ref="F24:T24"/>
    <mergeCell ref="P25:T25"/>
    <mergeCell ref="A26:T26"/>
    <mergeCell ref="A27:D28"/>
    <mergeCell ref="E27:E28"/>
    <mergeCell ref="G27:G28"/>
    <mergeCell ref="J27:N28"/>
    <mergeCell ref="P27:T28"/>
    <mergeCell ref="I21:N22"/>
    <mergeCell ref="O21:O22"/>
    <mergeCell ref="P21:P22"/>
    <mergeCell ref="Q21:Q22"/>
    <mergeCell ref="R21:R22"/>
    <mergeCell ref="S21:S22"/>
    <mergeCell ref="F32:N34"/>
    <mergeCell ref="A36:C36"/>
    <mergeCell ref="D36:H36"/>
    <mergeCell ref="A38:C38"/>
    <mergeCell ref="D38:H38"/>
    <mergeCell ref="J38:L38"/>
    <mergeCell ref="A29:D29"/>
    <mergeCell ref="J29:N29"/>
    <mergeCell ref="P29:T29"/>
    <mergeCell ref="J30:N30"/>
    <mergeCell ref="P30:T30"/>
    <mergeCell ref="J31:N31"/>
    <mergeCell ref="P31:T31"/>
    <mergeCell ref="AD39:AD44"/>
    <mergeCell ref="C40:C41"/>
    <mergeCell ref="D40:E41"/>
    <mergeCell ref="F40:F41"/>
    <mergeCell ref="G40:G41"/>
    <mergeCell ref="I40:J41"/>
    <mergeCell ref="K40:L41"/>
    <mergeCell ref="M40:N41"/>
    <mergeCell ref="O40:P40"/>
    <mergeCell ref="Q40:R40"/>
    <mergeCell ref="S40:T40"/>
    <mergeCell ref="V40:V41"/>
    <mergeCell ref="W40:W41"/>
    <mergeCell ref="A43:A44"/>
    <mergeCell ref="D43:E43"/>
    <mergeCell ref="I43:I44"/>
    <mergeCell ref="J43:J44"/>
    <mergeCell ref="K43:K44"/>
    <mergeCell ref="L43:L44"/>
    <mergeCell ref="M43:M44"/>
    <mergeCell ref="T43:T44"/>
    <mergeCell ref="V43:V44"/>
    <mergeCell ref="W43:W44"/>
    <mergeCell ref="D44:E44"/>
    <mergeCell ref="A45:A46"/>
    <mergeCell ref="D45:E45"/>
    <mergeCell ref="I45:I46"/>
    <mergeCell ref="J45:J46"/>
    <mergeCell ref="K45:K46"/>
    <mergeCell ref="L45:L46"/>
    <mergeCell ref="N43:N44"/>
    <mergeCell ref="O43:O44"/>
    <mergeCell ref="P43:P44"/>
    <mergeCell ref="Q43:Q44"/>
    <mergeCell ref="R43:R44"/>
    <mergeCell ref="S43:S44"/>
    <mergeCell ref="W45:W46"/>
    <mergeCell ref="AD45:AD46"/>
    <mergeCell ref="D46:E46"/>
    <mergeCell ref="M45:M46"/>
    <mergeCell ref="N45:N46"/>
    <mergeCell ref="O45:O46"/>
    <mergeCell ref="P45:P46"/>
    <mergeCell ref="Q45:Q46"/>
    <mergeCell ref="R45:R46"/>
    <mergeCell ref="A47:A48"/>
    <mergeCell ref="D47:E47"/>
    <mergeCell ref="I47:I48"/>
    <mergeCell ref="J47:J48"/>
    <mergeCell ref="K47:K48"/>
    <mergeCell ref="L47:L48"/>
    <mergeCell ref="S45:S46"/>
    <mergeCell ref="T45:T46"/>
    <mergeCell ref="V45:V46"/>
    <mergeCell ref="S47:S48"/>
    <mergeCell ref="T47:T48"/>
    <mergeCell ref="V47:V48"/>
    <mergeCell ref="W47:W48"/>
    <mergeCell ref="AD47:AD52"/>
    <mergeCell ref="D48:E48"/>
    <mergeCell ref="D49:E49"/>
    <mergeCell ref="D50:E50"/>
    <mergeCell ref="C52:D53"/>
    <mergeCell ref="E52:G53"/>
    <mergeCell ref="M47:M48"/>
    <mergeCell ref="N47:N48"/>
    <mergeCell ref="O47:O48"/>
    <mergeCell ref="P47:P48"/>
    <mergeCell ref="Q47:Q48"/>
    <mergeCell ref="R47:R48"/>
    <mergeCell ref="T52:T53"/>
    <mergeCell ref="D55:E55"/>
    <mergeCell ref="F55:T55"/>
    <mergeCell ref="P56:T56"/>
    <mergeCell ref="A57:T57"/>
    <mergeCell ref="A58:D59"/>
    <mergeCell ref="E58:E59"/>
    <mergeCell ref="G58:G59"/>
    <mergeCell ref="J58:N59"/>
    <mergeCell ref="P58:T59"/>
    <mergeCell ref="I52:N53"/>
    <mergeCell ref="O52:O53"/>
    <mergeCell ref="P52:P53"/>
    <mergeCell ref="Q52:Q53"/>
    <mergeCell ref="R52:R53"/>
    <mergeCell ref="S52:S53"/>
    <mergeCell ref="F63:N65"/>
    <mergeCell ref="A67:C67"/>
    <mergeCell ref="D67:H67"/>
    <mergeCell ref="A69:C69"/>
    <mergeCell ref="D69:H69"/>
    <mergeCell ref="J69:L69"/>
    <mergeCell ref="A60:D60"/>
    <mergeCell ref="J60:N60"/>
    <mergeCell ref="P60:T60"/>
    <mergeCell ref="J61:N61"/>
    <mergeCell ref="P61:T61"/>
    <mergeCell ref="J62:N62"/>
    <mergeCell ref="P62:T62"/>
    <mergeCell ref="AD70:AD75"/>
    <mergeCell ref="C71:C72"/>
    <mergeCell ref="D71:E72"/>
    <mergeCell ref="F71:F72"/>
    <mergeCell ref="G71:G72"/>
    <mergeCell ref="I71:J72"/>
    <mergeCell ref="K71:L72"/>
    <mergeCell ref="M71:N72"/>
    <mergeCell ref="O71:P71"/>
    <mergeCell ref="Q71:R71"/>
    <mergeCell ref="S71:T71"/>
    <mergeCell ref="V71:V72"/>
    <mergeCell ref="W71:W72"/>
    <mergeCell ref="A74:A75"/>
    <mergeCell ref="D74:E74"/>
    <mergeCell ref="I74:I75"/>
    <mergeCell ref="J74:J75"/>
    <mergeCell ref="K74:K75"/>
    <mergeCell ref="L74:L75"/>
    <mergeCell ref="M74:M75"/>
    <mergeCell ref="T74:T75"/>
    <mergeCell ref="V74:V75"/>
    <mergeCell ref="W74:W75"/>
    <mergeCell ref="D75:E75"/>
    <mergeCell ref="A76:A77"/>
    <mergeCell ref="D76:E76"/>
    <mergeCell ref="I76:I77"/>
    <mergeCell ref="J76:J77"/>
    <mergeCell ref="K76:K77"/>
    <mergeCell ref="L76:L77"/>
    <mergeCell ref="N74:N75"/>
    <mergeCell ref="O74:O75"/>
    <mergeCell ref="P74:P75"/>
    <mergeCell ref="Q74:Q75"/>
    <mergeCell ref="R74:R75"/>
    <mergeCell ref="S74:S75"/>
    <mergeCell ref="W76:W77"/>
    <mergeCell ref="AD76:AD77"/>
    <mergeCell ref="D77:E77"/>
    <mergeCell ref="M76:M77"/>
    <mergeCell ref="N76:N77"/>
    <mergeCell ref="O76:O77"/>
    <mergeCell ref="P76:P77"/>
    <mergeCell ref="Q76:Q77"/>
    <mergeCell ref="R76:R77"/>
    <mergeCell ref="A78:A79"/>
    <mergeCell ref="D78:E78"/>
    <mergeCell ref="I78:I79"/>
    <mergeCell ref="J78:J79"/>
    <mergeCell ref="K78:K79"/>
    <mergeCell ref="L78:L79"/>
    <mergeCell ref="S76:S77"/>
    <mergeCell ref="T76:T77"/>
    <mergeCell ref="V76:V77"/>
    <mergeCell ref="S78:S79"/>
    <mergeCell ref="T78:T79"/>
    <mergeCell ref="V78:V79"/>
    <mergeCell ref="W78:W79"/>
    <mergeCell ref="AD78:AD83"/>
    <mergeCell ref="D79:E79"/>
    <mergeCell ref="D80:E80"/>
    <mergeCell ref="D81:E81"/>
    <mergeCell ref="C83:D84"/>
    <mergeCell ref="E83:G84"/>
    <mergeCell ref="M78:M79"/>
    <mergeCell ref="N78:N79"/>
    <mergeCell ref="O78:O79"/>
    <mergeCell ref="P78:P79"/>
    <mergeCell ref="Q78:Q79"/>
    <mergeCell ref="R78:R79"/>
    <mergeCell ref="A91:D91"/>
    <mergeCell ref="J91:N91"/>
    <mergeCell ref="P91:T91"/>
    <mergeCell ref="J92:N92"/>
    <mergeCell ref="P92:T92"/>
    <mergeCell ref="J93:N93"/>
    <mergeCell ref="P93:T93"/>
    <mergeCell ref="T83:T84"/>
    <mergeCell ref="D86:E86"/>
    <mergeCell ref="F86:T86"/>
    <mergeCell ref="P87:T87"/>
    <mergeCell ref="A88:T88"/>
    <mergeCell ref="A89:D90"/>
    <mergeCell ref="E89:E90"/>
    <mergeCell ref="G89:G90"/>
    <mergeCell ref="J89:N90"/>
    <mergeCell ref="P89:T90"/>
    <mergeCell ref="I83:N84"/>
    <mergeCell ref="O83:O84"/>
    <mergeCell ref="P83:P84"/>
    <mergeCell ref="Q83:Q84"/>
    <mergeCell ref="R83:R84"/>
    <mergeCell ref="S83:S84"/>
  </mergeCells>
  <dataValidations count="1" disablePrompts="0">
    <dataValidation sqref="D5:H5 D7:H7 D36:H36 D38:H38 D67:H67 D69:H69" type="list" allowBlank="1" errorStyle="stop" imeMode="noControl" operator="between" showDropDown="0" showErrorMessage="1" showInputMessage="1">
      <formula1>Allgemeines!$B$7:$B$12</formula1>
    </dataValidation>
  </dataValidations>
  <printOptions headings="0" gridLines="0"/>
  <pageMargins left="0.70866141732283472" right="0.70866141732283472" top="0.78740157480314954" bottom="0.78740157480314954" header="0.70866141732283472" footer="0.31496062992125984"/>
  <pageSetup paperSize="9" scale="74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&amp;R&amp;G</oddHeader>
  </headerFooter>
  <rowBreaks count="2" manualBreakCount="2">
    <brk id="31" man="1" max="19"/>
    <brk id="62" man="1" max="19"/>
  </rowBreaks>
  <legacyDrawingHF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0009007D-0088-4BD8-BD87-000C00DB0034}">
            <xm:f>0</xm:f>
            <x14:dxf>
              <font>
                <color theme="0"/>
              </font>
            </x14:dxf>
          </x14:cfRule>
          <xm:sqref>C12:C19 F12:F19</xm:sqref>
        </x14:conditionalFormatting>
        <x14:conditionalFormatting xmlns:xm="http://schemas.microsoft.com/office/excel/2006/main">
          <x14:cfRule type="cellIs" priority="5" operator="equal" id="{00910031-00ED-4AB6-97BC-005700A80017}">
            <xm:f>0</xm:f>
            <x14:dxf>
              <font>
                <color theme="0"/>
              </font>
            </x14:dxf>
          </x14:cfRule>
          <xm:sqref>C43:C50</xm:sqref>
        </x14:conditionalFormatting>
        <x14:conditionalFormatting xmlns:xm="http://schemas.microsoft.com/office/excel/2006/main">
          <x14:cfRule type="cellIs" priority="3" operator="equal" id="{0032003C-00CE-4F5D-992F-00E500230074}">
            <xm:f>0</xm:f>
            <x14:dxf>
              <font>
                <color theme="0"/>
              </font>
            </x14:dxf>
          </x14:cfRule>
          <xm:sqref>C74:C81</xm:sqref>
        </x14:conditionalFormatting>
        <x14:conditionalFormatting xmlns:xm="http://schemas.microsoft.com/office/excel/2006/main">
          <x14:cfRule type="cellIs" priority="2" operator="equal" id="{00C0004A-00DA-438C-A31D-00DA002F0020}">
            <xm:f>0</xm:f>
            <x14:dxf>
              <font>
                <color theme="0"/>
              </font>
            </x14:dxf>
          </x14:cfRule>
          <xm:sqref>F43:F50</xm:sqref>
        </x14:conditionalFormatting>
        <x14:conditionalFormatting xmlns:xm="http://schemas.microsoft.com/office/excel/2006/main">
          <x14:cfRule type="cellIs" priority="1" operator="equal" id="{00F60097-0061-43DF-8527-00E3005700B6}">
            <xm:f>0</xm:f>
            <x14:dxf>
              <font>
                <color theme="0"/>
              </font>
            </x14:dxf>
          </x14:cfRule>
          <xm:sqref>F74:F81</xm:sqref>
        </x14:conditionalFormatting>
        <x14:conditionalFormatting xmlns:xm="http://schemas.microsoft.com/office/excel/2006/main">
          <x14:cfRule type="cellIs" priority="8" operator="greaterThan" stopIfTrue="1" id="{00500051-0045-41DB-9F32-001400EE0009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I12:N19</xm:sqref>
        </x14:conditionalFormatting>
        <x14:conditionalFormatting xmlns:xm="http://schemas.microsoft.com/office/excel/2006/main">
          <x14:cfRule type="cellIs" priority="6" operator="greaterThan" stopIfTrue="1" id="{002400F7-0017-4004-AFB0-00DB00360068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I43:N50</xm:sqref>
        </x14:conditionalFormatting>
        <x14:conditionalFormatting xmlns:xm="http://schemas.microsoft.com/office/excel/2006/main">
          <x14:cfRule type="cellIs" priority="4" operator="greaterThan" stopIfTrue="1" id="{00620093-0023-48AC-8C1C-00D800D20047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I74:N81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6" disablePrompts="0">
        <x14:dataValidation xr:uid="{00E1004F-0088-43D7-A6EA-00F10076007A}" type="list" allowBlank="1" errorStyle="stop" imeMode="noControl" operator="between" showDropDown="0" showErrorMessage="1" showInputMessage="1">
          <x14:formula1>
            <xm:f>$AA8:$AA22</xm:f>
          </x14:formula1>
          <xm:sqref>G19 G50 G81</xm:sqref>
        </x14:dataValidation>
        <x14:dataValidation xr:uid="{001200A2-00F1-42A9-9C87-00A000640077}" type="list" allowBlank="1" errorStyle="stop" imeMode="noControl" operator="between" showDropDown="0" showErrorMessage="1" showInputMessage="1">
          <x14:formula1>
            <xm:f>$AA8:$AA22</xm:f>
          </x14:formula1>
          <xm:sqref>G18 G49 G80</xm:sqref>
        </x14:dataValidation>
        <x14:dataValidation xr:uid="{00DC0051-00CF-4195-A37C-00D7007E0028}" type="list" allowBlank="1" errorStyle="stop" imeMode="noControl" operator="between" showDropDown="0" showErrorMessage="1" showInputMessage="1">
          <x14:formula1>
            <xm:f>$AA8:$AA22</xm:f>
          </x14:formula1>
          <xm:sqref>G17 G48 G79</xm:sqref>
        </x14:dataValidation>
        <x14:dataValidation xr:uid="{00C600B0-0042-434C-8361-00AF002900A1}" type="list" allowBlank="1" errorStyle="stop" imeMode="noControl" operator="between" showDropDown="0" showErrorMessage="1" showInputMessage="1">
          <x14:formula1>
            <xm:f>$AA8:$AA22</xm:f>
          </x14:formula1>
          <xm:sqref>G16 G47 G78</xm:sqref>
        </x14:dataValidation>
        <x14:dataValidation xr:uid="{00A00071-006F-4529-A22F-001F00A100B9}" type="list" allowBlank="1" errorStyle="stop" imeMode="noControl" operator="between" showDropDown="0" showErrorMessage="1" showInputMessage="1">
          <x14:formula1>
            <xm:f>$AA8:$AA22</xm:f>
          </x14:formula1>
          <xm:sqref>G15 G46 G77</xm:sqref>
        </x14:dataValidation>
        <x14:dataValidation xr:uid="{002B008E-0095-4F03-B23F-00F3001200D3}" type="list" allowBlank="1" errorStyle="stop" imeMode="noControl" operator="between" showDropDown="0" showErrorMessage="1" showInputMessage="1">
          <x14:formula1>
            <xm:f>$AA8:$AA22</xm:f>
          </x14:formula1>
          <xm:sqref>G14 G45 G76</xm:sqref>
        </x14:dataValidation>
        <x14:dataValidation xr:uid="{00D60085-00A9-4F35-8696-005800660013}" type="list" allowBlank="1" errorStyle="stop" imeMode="noControl" operator="between" showDropDown="0" showErrorMessage="1" showInputMessage="1">
          <x14:formula1>
            <xm:f>$AA8:$AA22</xm:f>
          </x14:formula1>
          <xm:sqref>G13 G44 G75</xm:sqref>
        </x14:dataValidation>
        <x14:dataValidation xr:uid="{003000E5-00D3-4477-97CA-0023003500D2}" type="list" allowBlank="1" errorStyle="stop" imeMode="noControl" operator="between" showDropDown="0" showErrorMessage="1" showInputMessage="1">
          <x14:formula1>
            <xm:f>$AA8:$AA22</xm:f>
          </x14:formula1>
          <xm:sqref>G12 G43 G74</xm:sqref>
        </x14:dataValidation>
        <x14:dataValidation xr:uid="{0047003E-0032-4874-BDA6-00C100050074}" type="list" allowBlank="1" errorStyle="stop" imeMode="noControl" operator="between" showDropDown="0" showErrorMessage="1" showInputMessage="1">
          <x14:formula1>
            <xm:f>$Z8:$Z22</xm:f>
          </x14:formula1>
          <xm:sqref>D19:E19 D50:E50 D81:E81</xm:sqref>
        </x14:dataValidation>
        <x14:dataValidation xr:uid="{00DA0073-0052-43C7-84F2-00C300310044}" type="list" allowBlank="1" errorStyle="stop" imeMode="noControl" operator="between" showDropDown="0" showErrorMessage="1" showInputMessage="1">
          <x14:formula1>
            <xm:f>$Z8:$Z22</xm:f>
          </x14:formula1>
          <xm:sqref>D18:E18 D49:E49 D80:E80</xm:sqref>
        </x14:dataValidation>
        <x14:dataValidation xr:uid="{004700C3-0009-4F74-AE90-008300CB00B8}" type="list" allowBlank="1" errorStyle="stop" imeMode="noControl" operator="between" showDropDown="0" showErrorMessage="1" showInputMessage="1">
          <x14:formula1>
            <xm:f>$Z8:$Z22</xm:f>
          </x14:formula1>
          <xm:sqref>D17:E17 D48:E48 D79:E79</xm:sqref>
        </x14:dataValidation>
        <x14:dataValidation xr:uid="{002E00E6-004B-45BA-92AB-006600E6003E}" type="list" allowBlank="1" errorStyle="stop" imeMode="noControl" operator="between" showDropDown="0" showErrorMessage="1" showInputMessage="1">
          <x14:formula1>
            <xm:f>$Z8:$Z22</xm:f>
          </x14:formula1>
          <xm:sqref>D16:E16 D47:E47 D78:E78</xm:sqref>
        </x14:dataValidation>
        <x14:dataValidation xr:uid="{001E000B-000B-48D9-B340-00CC00A70050}" type="list" allowBlank="1" errorStyle="stop" imeMode="noControl" operator="between" showDropDown="0" showErrorMessage="1" showInputMessage="1">
          <x14:formula1>
            <xm:f>$Z8:$Z22</xm:f>
          </x14:formula1>
          <xm:sqref>D15:E15 D46:E46 D77:E77</xm:sqref>
        </x14:dataValidation>
        <x14:dataValidation xr:uid="{00D900DE-00D9-4C21-BA26-006600CF003C}" type="list" allowBlank="1" errorStyle="stop" imeMode="noControl" operator="between" showDropDown="0" showErrorMessage="1" showInputMessage="1">
          <x14:formula1>
            <xm:f>$Z8:$Z22</xm:f>
          </x14:formula1>
          <xm:sqref>D14:E14 D45:E45 D76:E76</xm:sqref>
        </x14:dataValidation>
        <x14:dataValidation xr:uid="{00A80060-0089-416A-9207-00C6006100A5}" type="list" allowBlank="1" errorStyle="stop" imeMode="noControl" operator="between" showDropDown="0" showErrorMessage="1" showInputMessage="1">
          <x14:formula1>
            <xm:f>$Z8:$Z22</xm:f>
          </x14:formula1>
          <xm:sqref>D13:E13 D44:E44 D75:E75</xm:sqref>
        </x14:dataValidation>
        <x14:dataValidation xr:uid="{00620058-0044-4612-9682-005E00C6006F}" type="list" allowBlank="1" errorStyle="stop" imeMode="noControl" operator="between" showDropDown="0" showErrorMessage="1" showInputMessage="1">
          <x14:formula1>
            <xm:f>$Z8:$Z22</xm:f>
          </x14:formula1>
          <xm:sqref>D12:E12 D43:E43 D74:E74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view="pageBreakPreview" topLeftCell="A2" zoomScale="85" workbookViewId="0">
      <selection activeCell="G24" activeCellId="0" sqref="G24"/>
    </sheetView>
  </sheetViews>
  <sheetFormatPr baseColWidth="10" defaultColWidth="11.42578125" defaultRowHeight="15"/>
  <cols>
    <col customWidth="1" min="1" max="1" width="11"/>
    <col customWidth="1" min="2" max="2" width="1.42578125"/>
    <col customWidth="1" min="3" max="3" width="5.7109375"/>
    <col customWidth="1" min="4" max="4" width="10.140625"/>
    <col customWidth="1" min="5" max="5" width="19.85546875"/>
    <col customWidth="1" min="6" max="6" width="5.7109375"/>
    <col customWidth="1" min="7" max="7" width="28.140625"/>
    <col customWidth="1" min="8" max="8" width="0.85546875"/>
    <col customWidth="1" min="9" max="20" width="7.85546875"/>
  </cols>
  <sheetData>
    <row r="1" ht="21">
      <c r="A1" s="155" t="s">
        <v>120</v>
      </c>
    </row>
    <row r="2" s="156" customFormat="1" ht="26.25">
      <c r="A2" s="157" t="s">
        <v>121</v>
      </c>
      <c r="B2" s="157"/>
      <c r="C2" s="157"/>
      <c r="D2" s="157"/>
      <c r="E2" s="157"/>
    </row>
    <row r="3" s="156" customFormat="1" ht="26.25">
      <c r="A3" s="158" t="s">
        <v>122</v>
      </c>
      <c r="B3" s="157"/>
      <c r="C3" s="157"/>
      <c r="D3" s="157"/>
      <c r="E3" s="157"/>
    </row>
    <row r="4" s="159" customFormat="1" ht="21" customHeight="1">
      <c r="A4" s="160"/>
    </row>
    <row r="5" s="156" customFormat="1" ht="15.75">
      <c r="A5" s="161" t="s">
        <v>123</v>
      </c>
      <c r="B5" s="161"/>
      <c r="C5" s="161"/>
      <c r="D5" s="162"/>
      <c r="E5" s="162"/>
      <c r="F5" s="162"/>
      <c r="G5" s="162"/>
      <c r="K5" s="163"/>
      <c r="L5" s="164" t="s">
        <v>124</v>
      </c>
      <c r="M5" s="165"/>
      <c r="N5" s="166"/>
      <c r="O5" s="166"/>
      <c r="P5" s="166"/>
      <c r="Q5" s="166"/>
      <c r="R5" s="166"/>
      <c r="S5" s="166"/>
      <c r="T5" s="166"/>
    </row>
    <row r="6" s="159" customFormat="1" ht="21" customHeight="1">
      <c r="C6" s="167" t="s">
        <v>125</v>
      </c>
      <c r="L6" s="167" t="s">
        <v>126</v>
      </c>
    </row>
    <row r="7" s="156" customFormat="1" ht="15.75">
      <c r="A7" s="161" t="s">
        <v>127</v>
      </c>
      <c r="B7" s="161"/>
      <c r="C7" s="161"/>
      <c r="D7" s="162"/>
      <c r="E7" s="162"/>
      <c r="F7" s="162"/>
      <c r="G7" s="162"/>
      <c r="J7" s="161" t="s">
        <v>128</v>
      </c>
      <c r="K7" s="161"/>
      <c r="L7" s="161"/>
      <c r="M7" s="165"/>
      <c r="N7" s="165"/>
      <c r="O7" s="165"/>
      <c r="P7" s="165"/>
      <c r="Q7" s="165"/>
      <c r="R7" s="166"/>
      <c r="S7" s="166"/>
      <c r="T7" s="166"/>
    </row>
    <row r="8" s="156" customFormat="1" ht="21">
      <c r="A8" s="160"/>
      <c r="C8" s="167" t="s">
        <v>132</v>
      </c>
      <c r="L8" s="167" t="s">
        <v>133</v>
      </c>
    </row>
    <row r="9" s="156" customFormat="1" ht="15.75">
      <c r="A9" s="168" t="s">
        <v>166</v>
      </c>
      <c r="B9" s="169"/>
      <c r="C9" s="170" t="s">
        <v>135</v>
      </c>
      <c r="D9" s="171" t="s">
        <v>136</v>
      </c>
      <c r="E9" s="172"/>
      <c r="F9" s="173" t="s">
        <v>135</v>
      </c>
      <c r="G9" s="174" t="s">
        <v>137</v>
      </c>
      <c r="H9" s="175"/>
      <c r="I9" s="176" t="s">
        <v>138</v>
      </c>
      <c r="J9" s="177"/>
      <c r="K9" s="176" t="s">
        <v>139</v>
      </c>
      <c r="L9" s="177"/>
      <c r="M9" s="178" t="s">
        <v>140</v>
      </c>
      <c r="N9" s="179"/>
      <c r="O9" s="180" t="s">
        <v>141</v>
      </c>
      <c r="P9" s="181"/>
      <c r="Q9" s="182" t="s">
        <v>142</v>
      </c>
      <c r="R9" s="183"/>
      <c r="S9" s="184" t="s">
        <v>143</v>
      </c>
      <c r="T9" s="185"/>
    </row>
    <row r="10" s="156" customFormat="1" ht="29.25">
      <c r="A10" s="186" t="s">
        <v>167</v>
      </c>
      <c r="B10" s="169"/>
      <c r="C10" s="187"/>
      <c r="D10" s="188"/>
      <c r="E10" s="189"/>
      <c r="F10" s="190"/>
      <c r="G10" s="191"/>
      <c r="H10" s="175"/>
      <c r="I10" s="192"/>
      <c r="J10" s="193"/>
      <c r="K10" s="192"/>
      <c r="L10" s="193"/>
      <c r="M10" s="194"/>
      <c r="N10" s="195"/>
      <c r="O10" s="196" t="s">
        <v>146</v>
      </c>
      <c r="P10" s="197" t="s">
        <v>147</v>
      </c>
      <c r="Q10" s="198" t="s">
        <v>146</v>
      </c>
      <c r="R10" s="199" t="s">
        <v>147</v>
      </c>
      <c r="S10" s="197" t="s">
        <v>146</v>
      </c>
      <c r="T10" s="200" t="s">
        <v>147</v>
      </c>
    </row>
    <row r="11" s="201" customFormat="1" ht="6"/>
    <row r="12" s="156" customFormat="1" ht="24" customHeight="1">
      <c r="A12" s="202" t="s">
        <v>148</v>
      </c>
      <c r="C12" s="203"/>
      <c r="D12" s="204"/>
      <c r="E12" s="205"/>
      <c r="F12" s="206"/>
      <c r="G12" s="207"/>
      <c r="I12" s="208"/>
      <c r="J12" s="209"/>
      <c r="K12" s="208"/>
      <c r="L12" s="209"/>
      <c r="M12" s="208"/>
      <c r="N12" s="210"/>
      <c r="O12" s="211"/>
      <c r="P12" s="212"/>
      <c r="Q12" s="213"/>
      <c r="R12" s="214"/>
      <c r="S12" s="215"/>
      <c r="T12" s="216"/>
    </row>
    <row r="13" s="156" customFormat="1" ht="24" customHeight="1">
      <c r="A13" s="217"/>
      <c r="C13" s="218"/>
      <c r="D13" s="219"/>
      <c r="E13" s="220"/>
      <c r="F13" s="221"/>
      <c r="G13" s="222"/>
      <c r="I13" s="208"/>
      <c r="J13" s="209"/>
      <c r="K13" s="208"/>
      <c r="L13" s="209"/>
      <c r="M13" s="208"/>
      <c r="N13" s="210"/>
      <c r="O13" s="221"/>
      <c r="P13" s="219"/>
      <c r="Q13" s="218"/>
      <c r="R13" s="223"/>
      <c r="S13" s="224"/>
      <c r="T13" s="222"/>
    </row>
    <row r="14" s="156" customFormat="1" ht="24" customHeight="1">
      <c r="A14" s="202" t="s">
        <v>149</v>
      </c>
      <c r="C14" s="203"/>
      <c r="D14" s="204"/>
      <c r="E14" s="205"/>
      <c r="F14" s="206"/>
      <c r="G14" s="207"/>
      <c r="I14" s="208"/>
      <c r="J14" s="225"/>
      <c r="K14" s="208"/>
      <c r="L14" s="209"/>
      <c r="M14" s="208"/>
      <c r="N14" s="210"/>
      <c r="O14" s="211"/>
      <c r="P14" s="212"/>
      <c r="Q14" s="213"/>
      <c r="R14" s="214"/>
      <c r="S14" s="215"/>
      <c r="T14" s="216"/>
    </row>
    <row r="15" s="156" customFormat="1" ht="24" customHeight="1">
      <c r="A15" s="217"/>
      <c r="C15" s="218"/>
      <c r="D15" s="219"/>
      <c r="E15" s="220"/>
      <c r="F15" s="221"/>
      <c r="G15" s="222"/>
      <c r="I15" s="208"/>
      <c r="J15" s="209"/>
      <c r="K15" s="208"/>
      <c r="L15" s="209"/>
      <c r="M15" s="208"/>
      <c r="N15" s="210"/>
      <c r="O15" s="221"/>
      <c r="P15" s="219"/>
      <c r="Q15" s="218"/>
      <c r="R15" s="223"/>
      <c r="S15" s="224"/>
      <c r="T15" s="222"/>
    </row>
    <row r="16" s="156" customFormat="1" ht="24" customHeight="1">
      <c r="A16" s="202" t="s">
        <v>151</v>
      </c>
      <c r="C16" s="203"/>
      <c r="D16" s="204"/>
      <c r="E16" s="205"/>
      <c r="F16" s="206"/>
      <c r="G16" s="207"/>
      <c r="I16" s="208"/>
      <c r="J16" s="209"/>
      <c r="K16" s="208"/>
      <c r="L16" s="209"/>
      <c r="M16" s="208"/>
      <c r="N16" s="210"/>
      <c r="O16" s="211"/>
      <c r="P16" s="212"/>
      <c r="Q16" s="213"/>
      <c r="R16" s="214"/>
      <c r="S16" s="215"/>
      <c r="T16" s="216"/>
    </row>
    <row r="17" s="156" customFormat="1" ht="24" customHeight="1">
      <c r="A17" s="217"/>
      <c r="C17" s="218"/>
      <c r="D17" s="219"/>
      <c r="E17" s="220"/>
      <c r="F17" s="221"/>
      <c r="G17" s="222"/>
      <c r="I17" s="208"/>
      <c r="J17" s="209"/>
      <c r="K17" s="208"/>
      <c r="L17" s="209"/>
      <c r="M17" s="208"/>
      <c r="N17" s="210"/>
      <c r="O17" s="221"/>
      <c r="P17" s="219"/>
      <c r="Q17" s="218"/>
      <c r="R17" s="223"/>
      <c r="S17" s="224"/>
      <c r="T17" s="222"/>
    </row>
    <row r="18" s="156" customFormat="1" ht="30" customHeight="1">
      <c r="A18" s="202" t="s">
        <v>152</v>
      </c>
      <c r="B18" s="226"/>
      <c r="C18" s="227"/>
      <c r="D18" s="228"/>
      <c r="E18" s="229"/>
      <c r="F18" s="230"/>
      <c r="G18" s="231"/>
      <c r="I18" s="208"/>
      <c r="J18" s="209"/>
      <c r="K18" s="208"/>
      <c r="L18" s="209"/>
      <c r="M18" s="208"/>
      <c r="N18" s="210"/>
      <c r="O18" s="232"/>
      <c r="P18" s="233"/>
      <c r="Q18" s="234"/>
      <c r="R18" s="235"/>
      <c r="S18" s="236"/>
      <c r="T18" s="237"/>
    </row>
    <row r="19" s="156" customFormat="1" ht="30" customHeight="1">
      <c r="A19" s="202" t="s">
        <v>153</v>
      </c>
      <c r="B19" s="226"/>
      <c r="C19" s="227"/>
      <c r="D19" s="228"/>
      <c r="E19" s="229"/>
      <c r="F19" s="230"/>
      <c r="G19" s="231"/>
      <c r="I19" s="208"/>
      <c r="J19" s="209"/>
      <c r="K19" s="208"/>
      <c r="L19" s="209"/>
      <c r="M19" s="208"/>
      <c r="N19" s="210"/>
      <c r="O19" s="232"/>
      <c r="P19" s="233"/>
      <c r="Q19" s="234"/>
      <c r="R19" s="235"/>
      <c r="S19" s="236"/>
      <c r="T19" s="237"/>
    </row>
    <row r="20" s="201" customFormat="1" ht="6"/>
    <row r="21" s="156" customFormat="1" ht="15.75">
      <c r="A21" s="238" t="s">
        <v>154</v>
      </c>
      <c r="B21" s="169"/>
      <c r="C21" s="239" t="s">
        <v>155</v>
      </c>
      <c r="D21" s="240"/>
      <c r="E21" s="241"/>
      <c r="F21" s="212"/>
      <c r="G21" s="216"/>
      <c r="I21" s="239" t="s">
        <v>156</v>
      </c>
      <c r="J21" s="242"/>
      <c r="K21" s="242"/>
      <c r="L21" s="242"/>
      <c r="M21" s="242"/>
      <c r="N21" s="240"/>
      <c r="O21" s="243"/>
      <c r="P21" s="244"/>
      <c r="Q21" s="245"/>
      <c r="R21" s="246"/>
      <c r="S21" s="247"/>
      <c r="T21" s="248"/>
    </row>
    <row r="22" s="156" customFormat="1" ht="16.5">
      <c r="A22" s="249"/>
      <c r="B22" s="169"/>
      <c r="C22" s="250"/>
      <c r="D22" s="251"/>
      <c r="E22" s="252"/>
      <c r="F22" s="253"/>
      <c r="G22" s="254"/>
      <c r="I22" s="250"/>
      <c r="J22" s="255"/>
      <c r="K22" s="255"/>
      <c r="L22" s="255"/>
      <c r="M22" s="255"/>
      <c r="N22" s="251"/>
      <c r="O22" s="256"/>
      <c r="P22" s="257"/>
      <c r="Q22" s="258"/>
      <c r="R22" s="259"/>
      <c r="S22" s="260"/>
      <c r="T22" s="261"/>
    </row>
    <row r="23" s="156" customFormat="1" ht="21">
      <c r="A23" s="160"/>
    </row>
    <row r="24" s="156" customFormat="1" ht="30" customHeight="1">
      <c r="B24" s="164"/>
      <c r="C24" s="164"/>
      <c r="D24" s="262" t="s">
        <v>157</v>
      </c>
      <c r="E24" s="262"/>
      <c r="F24" s="165"/>
      <c r="G24" s="165"/>
      <c r="H24" s="165"/>
      <c r="I24" s="165"/>
      <c r="J24" s="165"/>
      <c r="K24" s="165"/>
      <c r="L24" s="165"/>
      <c r="M24" s="165"/>
      <c r="N24" s="165"/>
      <c r="O24" s="263"/>
      <c r="P24" s="264"/>
      <c r="Q24" s="264"/>
      <c r="R24" s="264"/>
      <c r="S24" s="264"/>
      <c r="T24" s="219"/>
    </row>
    <row r="25" s="156" customFormat="1">
      <c r="A25" s="159"/>
      <c r="P25" s="265"/>
      <c r="Q25" s="265"/>
      <c r="R25" s="265"/>
      <c r="S25" s="265"/>
      <c r="T25" s="265"/>
    </row>
    <row r="26" s="156" customFormat="1" ht="30" customHeight="1">
      <c r="A26" s="266" t="s">
        <v>158</v>
      </c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7"/>
      <c r="S26" s="267"/>
      <c r="T26" s="267"/>
    </row>
    <row r="27" s="156" customFormat="1" ht="36">
      <c r="A27" s="268"/>
    </row>
    <row r="28" s="156" customFormat="1">
      <c r="A28" s="219"/>
      <c r="B28" s="219"/>
      <c r="C28" s="219"/>
      <c r="D28" s="219"/>
      <c r="E28" s="219"/>
      <c r="G28" s="263"/>
      <c r="J28" s="263"/>
      <c r="K28" s="263"/>
      <c r="L28" s="263"/>
      <c r="M28" s="263"/>
      <c r="N28" s="263"/>
      <c r="P28" s="263"/>
      <c r="Q28" s="263"/>
      <c r="R28" s="263"/>
      <c r="S28" s="263"/>
      <c r="T28" s="263"/>
    </row>
    <row r="29" s="156" customFormat="1" ht="15.75">
      <c r="A29" s="269" t="s">
        <v>159</v>
      </c>
      <c r="B29" s="269"/>
      <c r="C29" s="269"/>
      <c r="D29" s="269"/>
      <c r="E29" s="269" t="s">
        <v>160</v>
      </c>
      <c r="F29" s="175"/>
      <c r="G29" s="269" t="s">
        <v>2</v>
      </c>
      <c r="H29" s="175"/>
      <c r="I29" s="175"/>
      <c r="J29" s="270" t="s">
        <v>161</v>
      </c>
      <c r="K29" s="270"/>
      <c r="L29" s="270"/>
      <c r="M29" s="270"/>
      <c r="N29" s="270"/>
      <c r="O29" s="175"/>
      <c r="P29" s="270" t="s">
        <v>162</v>
      </c>
      <c r="Q29" s="270"/>
      <c r="R29" s="270"/>
      <c r="S29" s="270"/>
      <c r="T29" s="270"/>
    </row>
    <row r="30">
      <c r="G30" s="271" t="s">
        <v>163</v>
      </c>
      <c r="J30" s="271" t="s">
        <v>164</v>
      </c>
      <c r="K30" s="271"/>
      <c r="L30" s="271"/>
      <c r="M30" s="271"/>
      <c r="N30" s="271"/>
      <c r="P30" s="271" t="s">
        <v>165</v>
      </c>
      <c r="Q30" s="271"/>
      <c r="R30" s="271"/>
      <c r="S30" s="271"/>
      <c r="T30" s="271"/>
    </row>
  </sheetData>
  <mergeCells count="77">
    <mergeCell ref="O12:O13"/>
    <mergeCell ref="P12:P13"/>
    <mergeCell ref="Q12:Q13"/>
    <mergeCell ref="R12:R13"/>
    <mergeCell ref="S12:S13"/>
    <mergeCell ref="O14:O15"/>
    <mergeCell ref="P14:P15"/>
    <mergeCell ref="Q14:Q15"/>
    <mergeCell ref="R14:R15"/>
    <mergeCell ref="S14:S15"/>
    <mergeCell ref="S16:S17"/>
    <mergeCell ref="P29:T29"/>
    <mergeCell ref="P24:S24"/>
    <mergeCell ref="T16:T17"/>
    <mergeCell ref="T12:T13"/>
    <mergeCell ref="T14:T15"/>
    <mergeCell ref="Q16:Q17"/>
    <mergeCell ref="R16:R17"/>
    <mergeCell ref="C21:D22"/>
    <mergeCell ref="E21:G22"/>
    <mergeCell ref="I21:N22"/>
    <mergeCell ref="P16:P17"/>
    <mergeCell ref="L16:L17"/>
    <mergeCell ref="K16:K17"/>
    <mergeCell ref="O16:O17"/>
    <mergeCell ref="P25:T25"/>
    <mergeCell ref="A26:T26"/>
    <mergeCell ref="A28:D28"/>
    <mergeCell ref="J28:N28"/>
    <mergeCell ref="P28:T28"/>
    <mergeCell ref="J14:J15"/>
    <mergeCell ref="K14:K15"/>
    <mergeCell ref="D15:E15"/>
    <mergeCell ref="A29:D29"/>
    <mergeCell ref="J29:N29"/>
    <mergeCell ref="D18:E18"/>
    <mergeCell ref="M16:M17"/>
    <mergeCell ref="N16:N17"/>
    <mergeCell ref="A14:A15"/>
    <mergeCell ref="D17:E17"/>
    <mergeCell ref="A16:A17"/>
    <mergeCell ref="D16:E16"/>
    <mergeCell ref="I16:I17"/>
    <mergeCell ref="D14:E14"/>
    <mergeCell ref="I14:I15"/>
    <mergeCell ref="D19:E19"/>
    <mergeCell ref="A7:C7"/>
    <mergeCell ref="D7:G7"/>
    <mergeCell ref="J7:L7"/>
    <mergeCell ref="A5:C5"/>
    <mergeCell ref="D5:G5"/>
    <mergeCell ref="A12:A13"/>
    <mergeCell ref="D12:E12"/>
    <mergeCell ref="I12:I13"/>
    <mergeCell ref="J12:J13"/>
    <mergeCell ref="C9:C10"/>
    <mergeCell ref="D9:E10"/>
    <mergeCell ref="F9:F10"/>
    <mergeCell ref="G9:G10"/>
    <mergeCell ref="I9:J10"/>
    <mergeCell ref="D13:E13"/>
    <mergeCell ref="M12:M13"/>
    <mergeCell ref="D24:E24"/>
    <mergeCell ref="J30:N30"/>
    <mergeCell ref="P30:T30"/>
    <mergeCell ref="S9:T9"/>
    <mergeCell ref="N12:N13"/>
    <mergeCell ref="K9:L10"/>
    <mergeCell ref="M9:N10"/>
    <mergeCell ref="O9:P9"/>
    <mergeCell ref="K12:K13"/>
    <mergeCell ref="L12:L13"/>
    <mergeCell ref="Q9:R9"/>
    <mergeCell ref="L14:L15"/>
    <mergeCell ref="M14:M15"/>
    <mergeCell ref="N14:N15"/>
    <mergeCell ref="J16:J17"/>
  </mergeCells>
  <printOptions headings="0" gridLines="0"/>
  <pageMargins left="0.70866141732283472" right="0.70866141732283472" top="0.78740157480314954" bottom="0.78740157480314954" header="0.70866141732283472" footer="0.31496062992125984"/>
  <pageSetup paperSize="9" scale="74" fitToWidth="1" fitToHeight="0" pageOrder="downThenOver" orientation="landscape" usePrinterDefaults="1" blackAndWhite="0" draft="0" cellComments="none" useFirstPageNumber="0" errors="displayed" horizontalDpi="600" verticalDpi="600" copies="1"/>
  <headerFooter>
    <oddHeader>&amp;R&amp;G</oddHeader>
  </headerFooter>
  <legacyDrawingHF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stopIfTrue="1" id="{006C00E2-0032-432F-BA75-0027002400EB}">
            <xm:f>30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I12:N19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Reininghaus, Michael</dc:creator>
  <cp:lastModifiedBy>Christian (Geschäftsführung)</cp:lastModifiedBy>
  <cp:revision>1</cp:revision>
  <dcterms:created xsi:type="dcterms:W3CDTF">2023-04-03T14:09:50Z</dcterms:created>
  <dcterms:modified xsi:type="dcterms:W3CDTF">2026-02-10T15:59:31Z</dcterms:modified>
</cp:coreProperties>
</file>